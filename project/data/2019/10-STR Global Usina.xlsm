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heme/themeOverride2.xml" ContentType="application/vnd.openxmlformats-officedocument.themeOverrid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6.xml" ContentType="application/vnd.openxmlformats-officedocument.themeOverrid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7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8.xml" ContentType="application/vnd.openxmlformats-officedocument.themeOverride+xml"/>
  <Override PartName="/xl/vbaProject.bin" ContentType="application/vnd.ms-office.vbaProject"/>
  <Override PartName="/docProps/custom.xml" ContentType="application/vnd.openxmlformats-officedocument.custom-properties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\\F-kherty\shared\COR_CALIDAD\CALIDAD\CALIDADSN\78 - Calidad Cliente\02- CONVERGENCIA INDICADORES\"/>
    </mc:Choice>
  </mc:AlternateContent>
  <xr:revisionPtr revIDLastSave="0" documentId="13_ncr:1_{F41B4016-9573-454D-8408-D3CC08046822}" xr6:coauthVersionLast="41" xr6:coauthVersionMax="41" xr10:uidLastSave="{00000000-0000-0000-0000-000000000000}"/>
  <bookViews>
    <workbookView xWindow="-120" yWindow="-120" windowWidth="20730" windowHeight="11160" xr2:uid="{00000000-000D-0000-FFFF-FFFF00000000}"/>
  </bookViews>
  <sheets>
    <sheet name="STR &amp; SRT + QRW ZONE" sheetId="1" r:id="rId1"/>
    <sheet name="Web" sheetId="2" state="hidden" r:id="rId2"/>
  </sheets>
  <definedNames>
    <definedName name="_xlnm.Print_Area" localSheetId="1">Web!$M$1:$X$31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R20" i="1" l="1"/>
  <c r="BR19" i="1"/>
  <c r="BR12" i="1"/>
  <c r="BR11" i="1"/>
  <c r="BR8" i="1"/>
  <c r="BR13" i="1"/>
  <c r="Z8" i="1" l="1"/>
  <c r="Z13" i="1"/>
  <c r="Z14" i="1" l="1"/>
  <c r="Z12" i="1" l="1"/>
  <c r="Z11" i="1"/>
  <c r="Z9" i="1"/>
  <c r="Y18" i="1"/>
  <c r="Y10" i="1"/>
  <c r="Z10" i="1" l="1"/>
  <c r="Z18" i="1" l="1"/>
  <c r="S31" i="2" l="1"/>
  <c r="E31" i="2"/>
  <c r="BK13" i="1" l="1"/>
  <c r="BJ13" i="1"/>
  <c r="BI13" i="1"/>
  <c r="BK8" i="1" l="1"/>
  <c r="BJ8" i="1"/>
  <c r="BI8" i="1"/>
  <c r="AO5" i="1"/>
  <c r="AN5" i="1"/>
  <c r="AM5" i="1"/>
  <c r="AF5" i="1"/>
  <c r="AE5" i="1"/>
  <c r="AD5" i="1"/>
  <c r="AC5" i="1"/>
  <c r="AB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FUERTES Marcelo</author>
  </authors>
  <commentList>
    <comment ref="U8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FUERTES Marcelo:</t>
        </r>
        <r>
          <rPr>
            <sz val="9"/>
            <color indexed="81"/>
            <rFont val="Tahoma"/>
            <family val="2"/>
          </rPr>
          <t xml:space="preserve">
W/O L'EM  ISSUE COMM CONCERNM</t>
        </r>
      </text>
    </comment>
    <comment ref="U13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FUERTES Marcelo:</t>
        </r>
        <r>
          <rPr>
            <sz val="9"/>
            <color indexed="81"/>
            <rFont val="Tahoma"/>
            <family val="2"/>
          </rPr>
          <t xml:space="preserve">
FUERTES Marcelo:
W/O L'EM  ISSUE COMM CONC</t>
        </r>
      </text>
    </comment>
    <comment ref="U16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FUERTES Marcelo:</t>
        </r>
        <r>
          <rPr>
            <sz val="9"/>
            <color indexed="81"/>
            <rFont val="Tahoma"/>
            <family val="2"/>
          </rPr>
          <t xml:space="preserve"> w/o L'EM  ISSUE COMM CONCERNM</t>
        </r>
      </text>
    </comment>
  </commentList>
</comments>
</file>

<file path=xl/sharedStrings.xml><?xml version="1.0" encoding="utf-8"?>
<sst xmlns="http://schemas.openxmlformats.org/spreadsheetml/2006/main" count="183" uniqueCount="147">
  <si>
    <t>DPU OFF NISSAN</t>
  </si>
  <si>
    <t>XND</t>
  </si>
  <si>
    <t>ENE 18</t>
  </si>
  <si>
    <t>FEB 18</t>
  </si>
  <si>
    <t>MAR 18</t>
  </si>
  <si>
    <t>ABR 18</t>
  </si>
  <si>
    <t>MAY 18</t>
  </si>
  <si>
    <t>JUN 18</t>
  </si>
  <si>
    <t>JUL 18</t>
  </si>
  <si>
    <t>AGO</t>
  </si>
  <si>
    <t>SEP</t>
  </si>
  <si>
    <t>OCT</t>
  </si>
  <si>
    <t>NOV</t>
  </si>
  <si>
    <t>DIC</t>
  </si>
  <si>
    <t>ENE</t>
  </si>
  <si>
    <t>FEB</t>
  </si>
  <si>
    <t>MAR</t>
  </si>
  <si>
    <t>ABR</t>
  </si>
  <si>
    <t>MAY</t>
  </si>
  <si>
    <t>Sem31</t>
  </si>
  <si>
    <t>Sem32</t>
  </si>
  <si>
    <t>Sem33</t>
  </si>
  <si>
    <t>Sem34</t>
  </si>
  <si>
    <t>Sem 35</t>
  </si>
  <si>
    <t>Sem 36</t>
  </si>
  <si>
    <t>Sem 37</t>
  </si>
  <si>
    <t>Sem 38</t>
  </si>
  <si>
    <t>Sem 39</t>
  </si>
  <si>
    <t>Sem 40</t>
  </si>
  <si>
    <t>Sem 41</t>
  </si>
  <si>
    <t>Sem 42</t>
  </si>
  <si>
    <t>Sem 43</t>
  </si>
  <si>
    <t>Sem 44</t>
  </si>
  <si>
    <t>Sem 45</t>
  </si>
  <si>
    <t>Sem 46</t>
  </si>
  <si>
    <t>Sem 47</t>
  </si>
  <si>
    <t>Sem 48</t>
  </si>
  <si>
    <t>Sem 49</t>
  </si>
  <si>
    <t>Sem 50</t>
  </si>
  <si>
    <t>Sem 51</t>
  </si>
  <si>
    <t>S05</t>
  </si>
  <si>
    <t>S06</t>
  </si>
  <si>
    <t>S07</t>
  </si>
  <si>
    <t>S08</t>
  </si>
  <si>
    <t>S09</t>
  </si>
  <si>
    <t>S10</t>
  </si>
  <si>
    <t>S11</t>
  </si>
  <si>
    <t>S12</t>
  </si>
  <si>
    <t>S13</t>
  </si>
  <si>
    <t>S14</t>
  </si>
  <si>
    <t>S15</t>
  </si>
  <si>
    <t>S16</t>
  </si>
  <si>
    <t>S17</t>
  </si>
  <si>
    <t>LUN</t>
  </si>
  <si>
    <t>MIER</t>
  </si>
  <si>
    <t>JUEV</t>
  </si>
  <si>
    <t>VIER</t>
  </si>
  <si>
    <t>S/P</t>
  </si>
  <si>
    <t>trayectoria</t>
  </si>
  <si>
    <t>JUN</t>
  </si>
  <si>
    <t>TARGET</t>
  </si>
  <si>
    <t>JUL</t>
  </si>
  <si>
    <t>MIE</t>
  </si>
  <si>
    <t>JUE</t>
  </si>
  <si>
    <t>VIE</t>
  </si>
  <si>
    <t>STR VU</t>
  </si>
  <si>
    <t>STR VP</t>
  </si>
  <si>
    <t>X67</t>
  </si>
  <si>
    <t>X52</t>
  </si>
  <si>
    <t>VH NSTR</t>
  </si>
  <si>
    <t>X88</t>
  </si>
  <si>
    <t>X89</t>
  </si>
  <si>
    <t>X90</t>
  </si>
  <si>
    <t>X91</t>
  </si>
  <si>
    <t>X92</t>
  </si>
  <si>
    <t>X93</t>
  </si>
  <si>
    <t>X94</t>
  </si>
  <si>
    <t>X95</t>
  </si>
  <si>
    <t>X96</t>
  </si>
  <si>
    <t>X97</t>
  </si>
  <si>
    <t>X98</t>
  </si>
  <si>
    <t>X99</t>
  </si>
  <si>
    <t>X100</t>
  </si>
  <si>
    <t>X101</t>
  </si>
  <si>
    <t>X102</t>
  </si>
  <si>
    <t>X103</t>
  </si>
  <si>
    <t>X104</t>
  </si>
  <si>
    <t>X105</t>
  </si>
  <si>
    <t>X106</t>
  </si>
  <si>
    <t>X107</t>
  </si>
  <si>
    <t>X108</t>
  </si>
  <si>
    <t>X109</t>
  </si>
  <si>
    <t>X110</t>
  </si>
  <si>
    <t>X111</t>
  </si>
  <si>
    <t>X112</t>
  </si>
  <si>
    <t>X113</t>
  </si>
  <si>
    <t>X114</t>
  </si>
  <si>
    <t>X115</t>
  </si>
  <si>
    <t>X116</t>
  </si>
  <si>
    <t>X117</t>
  </si>
  <si>
    <t>X118</t>
  </si>
  <si>
    <t>X119</t>
  </si>
  <si>
    <t>X120</t>
  </si>
  <si>
    <t>X121</t>
  </si>
  <si>
    <t>X122</t>
  </si>
  <si>
    <t>X123</t>
  </si>
  <si>
    <t>VH NSTR X67/X52</t>
  </si>
  <si>
    <t>VU</t>
  </si>
  <si>
    <t>DCHAP</t>
  </si>
  <si>
    <t>DPINT</t>
  </si>
  <si>
    <t>MONTVU</t>
  </si>
  <si>
    <t>SQF</t>
  </si>
  <si>
    <t>DLI</t>
  </si>
  <si>
    <t>DAT</t>
  </si>
  <si>
    <t>VP</t>
  </si>
  <si>
    <t>CANT DEF</t>
  </si>
  <si>
    <t>DMONT</t>
  </si>
  <si>
    <t>MADU</t>
  </si>
  <si>
    <t>1491 / 1502</t>
  </si>
  <si>
    <t>STR(+RTR1)</t>
  </si>
  <si>
    <t>STR(+RET2)</t>
  </si>
  <si>
    <t>79 / 99</t>
  </si>
  <si>
    <t>1256 / 1318</t>
  </si>
  <si>
    <t>TPO RET2</t>
  </si>
  <si>
    <t>TPO RTR1</t>
  </si>
  <si>
    <r>
      <rPr>
        <b/>
        <sz val="11"/>
        <color theme="1"/>
        <rFont val="Calibri"/>
        <family val="2"/>
        <scheme val="minor"/>
      </rPr>
      <t>742</t>
    </r>
    <r>
      <rPr>
        <sz val="11"/>
        <color theme="1"/>
        <rFont val="Calibri"/>
        <family val="2"/>
        <scheme val="minor"/>
      </rPr>
      <t xml:space="preserve"> / </t>
    </r>
    <r>
      <rPr>
        <b/>
        <sz val="11"/>
        <color theme="1"/>
        <rFont val="Calibri"/>
        <family val="2"/>
        <scheme val="minor"/>
      </rPr>
      <t>786</t>
    </r>
  </si>
  <si>
    <r>
      <rPr>
        <b/>
        <sz val="11"/>
        <color theme="1"/>
        <rFont val="Calibri"/>
        <family val="2"/>
        <scheme val="minor"/>
      </rPr>
      <t>289</t>
    </r>
    <r>
      <rPr>
        <sz val="11"/>
        <color theme="1"/>
        <rFont val="Calibri"/>
        <family val="2"/>
        <scheme val="minor"/>
      </rPr>
      <t xml:space="preserve"> / </t>
    </r>
    <r>
      <rPr>
        <b/>
        <sz val="11"/>
        <color theme="1"/>
        <rFont val="Calibri"/>
        <family val="2"/>
        <scheme val="minor"/>
      </rPr>
      <t>30</t>
    </r>
  </si>
  <si>
    <t>Fecha de actualización:</t>
  </si>
  <si>
    <t>5 / 17</t>
  </si>
  <si>
    <t>180 / 238</t>
  </si>
  <si>
    <t>SEPT</t>
  </si>
  <si>
    <t>Sem43</t>
  </si>
  <si>
    <t>Sem44</t>
  </si>
  <si>
    <t>S43</t>
  </si>
  <si>
    <t>S44</t>
  </si>
  <si>
    <t>60.4%</t>
  </si>
  <si>
    <t>2hs 17m</t>
  </si>
  <si>
    <t>S45</t>
  </si>
  <si>
    <t>S46</t>
  </si>
  <si>
    <t>Sem45</t>
  </si>
  <si>
    <t>Sem46</t>
  </si>
  <si>
    <t>S47</t>
  </si>
  <si>
    <t>Sem47</t>
  </si>
  <si>
    <t>Sem48</t>
  </si>
  <si>
    <t>S48</t>
  </si>
  <si>
    <t>Sem49</t>
  </si>
  <si>
    <t>S49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</si>
</sst>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8"/>
      <color rgb="FF000000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2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3" borderId="0" xfId="0" applyFill="1"/>
    <xf numFmtId="0" fontId="0" fillId="0" borderId="0" xfId="0" applyFill="1"/>
    <xf numFmtId="0" fontId="0" fillId="4" borderId="0" xfId="0" applyFill="1"/>
    <xf numFmtId="0" fontId="0" fillId="6" borderId="2" xfId="0" applyFill="1" applyBorder="1"/>
    <xf numFmtId="0" fontId="0" fillId="6" borderId="2" xfId="0" quotePrefix="1" applyFill="1" applyBorder="1"/>
    <xf numFmtId="0" fontId="0" fillId="4" borderId="2" xfId="0" quotePrefix="1" applyFill="1" applyBorder="1"/>
    <xf numFmtId="0" fontId="0" fillId="3" borderId="7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0" fillId="10" borderId="7" xfId="0" applyFill="1" applyBorder="1" applyAlignment="1">
      <alignment horizontal="center" vertical="center"/>
    </xf>
    <xf numFmtId="0" fontId="1" fillId="11" borderId="10" xfId="0" applyFont="1" applyFill="1" applyBorder="1" applyAlignment="1">
      <alignment horizontal="center" vertical="center"/>
    </xf>
    <xf numFmtId="0" fontId="0" fillId="11" borderId="0" xfId="0" applyFill="1"/>
    <xf numFmtId="0" fontId="2" fillId="11" borderId="11" xfId="0" applyFont="1" applyFill="1" applyBorder="1" applyAlignment="1">
      <alignment horizontal="center" vertical="center"/>
    </xf>
    <xf numFmtId="2" fontId="0" fillId="11" borderId="11" xfId="0" applyNumberFormat="1" applyFill="1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11" borderId="1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2" fontId="0" fillId="7" borderId="13" xfId="0" applyNumberFormat="1" applyFill="1" applyBorder="1" applyAlignment="1">
      <alignment horizontal="center" vertical="center"/>
    </xf>
    <xf numFmtId="2" fontId="0" fillId="7" borderId="11" xfId="0" applyNumberFormat="1" applyFill="1" applyBorder="1" applyAlignment="1">
      <alignment horizontal="center" vertical="center"/>
    </xf>
    <xf numFmtId="2" fontId="0" fillId="8" borderId="11" xfId="0" applyNumberFormat="1" applyFill="1" applyBorder="1" applyAlignment="1">
      <alignment horizontal="center" vertical="center"/>
    </xf>
    <xf numFmtId="0" fontId="0" fillId="9" borderId="11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4" fillId="10" borderId="2" xfId="0" applyFont="1" applyFill="1" applyBorder="1" applyAlignment="1">
      <alignment horizontal="left" vertical="center"/>
    </xf>
    <xf numFmtId="0" fontId="0" fillId="10" borderId="2" xfId="0" applyFill="1" applyBorder="1"/>
    <xf numFmtId="0" fontId="2" fillId="10" borderId="2" xfId="0" applyFont="1" applyFill="1" applyBorder="1" applyAlignment="1">
      <alignment horizontal="center" vertical="center"/>
    </xf>
    <xf numFmtId="2" fontId="0" fillId="10" borderId="2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2" fontId="0" fillId="10" borderId="4" xfId="0" applyNumberFormat="1" applyFill="1" applyBorder="1" applyAlignment="1">
      <alignment horizontal="center" vertical="center"/>
    </xf>
    <xf numFmtId="2" fontId="0" fillId="10" borderId="0" xfId="0" applyNumberFormat="1" applyFill="1" applyBorder="1" applyAlignment="1">
      <alignment horizontal="center" vertical="center"/>
    </xf>
    <xf numFmtId="2" fontId="0" fillId="4" borderId="0" xfId="0" applyNumberFormat="1" applyFill="1" applyBorder="1" applyAlignment="1">
      <alignment horizontal="center" vertical="center"/>
    </xf>
    <xf numFmtId="2" fontId="0" fillId="10" borderId="5" xfId="0" applyNumberFormat="1" applyFill="1" applyBorder="1" applyAlignment="1">
      <alignment horizontal="center" vertical="center"/>
    </xf>
    <xf numFmtId="2" fontId="0" fillId="10" borderId="2" xfId="0" applyNumberFormat="1" applyFill="1" applyBorder="1"/>
    <xf numFmtId="2" fontId="0" fillId="4" borderId="2" xfId="0" applyNumberFormat="1" applyFill="1" applyBorder="1"/>
    <xf numFmtId="0" fontId="4" fillId="10" borderId="2" xfId="0" applyFont="1" applyFill="1" applyBorder="1" applyAlignment="1">
      <alignment horizontal="center" vertical="center"/>
    </xf>
    <xf numFmtId="1" fontId="0" fillId="10" borderId="2" xfId="0" applyNumberFormat="1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2" fontId="0" fillId="0" borderId="7" xfId="0" applyNumberFormat="1" applyFill="1" applyBorder="1" applyAlignment="1">
      <alignment horizontal="center" vertical="center"/>
    </xf>
    <xf numFmtId="2" fontId="0" fillId="4" borderId="7" xfId="0" applyNumberFormat="1" applyFill="1" applyBorder="1" applyAlignment="1">
      <alignment horizontal="center" vertical="center"/>
    </xf>
    <xf numFmtId="2" fontId="0" fillId="0" borderId="8" xfId="0" applyNumberFormat="1" applyFill="1" applyBorder="1" applyAlignment="1">
      <alignment horizontal="center" vertical="center"/>
    </xf>
    <xf numFmtId="2" fontId="0" fillId="0" borderId="0" xfId="0" applyNumberFormat="1" applyFill="1" applyBorder="1" applyAlignment="1">
      <alignment horizontal="center" vertical="center"/>
    </xf>
    <xf numFmtId="2" fontId="0" fillId="7" borderId="9" xfId="0" applyNumberFormat="1" applyFill="1" applyBorder="1" applyAlignment="1">
      <alignment horizontal="center" vertical="center"/>
    </xf>
    <xf numFmtId="2" fontId="0" fillId="7" borderId="7" xfId="0" applyNumberFormat="1" applyFill="1" applyBorder="1" applyAlignment="1">
      <alignment horizontal="center" vertical="center"/>
    </xf>
    <xf numFmtId="2" fontId="0" fillId="8" borderId="7" xfId="0" applyNumberFormat="1" applyFill="1" applyBorder="1" applyAlignment="1">
      <alignment horizontal="center" vertical="center"/>
    </xf>
    <xf numFmtId="2" fontId="0" fillId="9" borderId="7" xfId="0" applyNumberFormat="1" applyFill="1" applyBorder="1" applyAlignment="1">
      <alignment horizontal="center" vertical="center"/>
    </xf>
    <xf numFmtId="2" fontId="0" fillId="12" borderId="7" xfId="0" applyNumberForma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2" fontId="0" fillId="0" borderId="2" xfId="0" applyNumberFormat="1" applyFill="1" applyBorder="1" applyAlignment="1">
      <alignment horizontal="center" vertical="center"/>
    </xf>
    <xf numFmtId="2" fontId="0" fillId="4" borderId="11" xfId="0" applyNumberFormat="1" applyFill="1" applyBorder="1" applyAlignment="1">
      <alignment horizontal="center" vertical="center"/>
    </xf>
    <xf numFmtId="2" fontId="0" fillId="0" borderId="11" xfId="0" applyNumberFormat="1" applyFill="1" applyBorder="1" applyAlignment="1">
      <alignment horizontal="center" vertical="center"/>
    </xf>
    <xf numFmtId="2" fontId="0" fillId="0" borderId="12" xfId="0" applyNumberForma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6" borderId="0" xfId="0" applyFill="1"/>
    <xf numFmtId="0" fontId="0" fillId="0" borderId="0" xfId="0" applyFill="1" applyBorder="1"/>
    <xf numFmtId="9" fontId="0" fillId="10" borderId="2" xfId="0" applyNumberFormat="1" applyFill="1" applyBorder="1" applyAlignment="1">
      <alignment horizontal="center" vertical="center"/>
    </xf>
    <xf numFmtId="9" fontId="0" fillId="10" borderId="4" xfId="0" applyNumberFormat="1" applyFill="1" applyBorder="1" applyAlignment="1">
      <alignment horizontal="center" vertical="center"/>
    </xf>
    <xf numFmtId="9" fontId="0" fillId="4" borderId="2" xfId="0" applyNumberFormat="1" applyFill="1" applyBorder="1" applyAlignment="1">
      <alignment horizontal="center" vertical="center"/>
    </xf>
    <xf numFmtId="9" fontId="0" fillId="10" borderId="2" xfId="0" applyNumberFormat="1" applyFill="1" applyBorder="1"/>
    <xf numFmtId="0" fontId="0" fillId="10" borderId="11" xfId="0" applyFill="1" applyBorder="1"/>
    <xf numFmtId="2" fontId="0" fillId="10" borderId="7" xfId="0" applyNumberFormat="1" applyFill="1" applyBorder="1" applyAlignment="1">
      <alignment horizontal="center" vertical="center"/>
    </xf>
    <xf numFmtId="2" fontId="0" fillId="10" borderId="9" xfId="0" applyNumberFormat="1" applyFill="1" applyBorder="1" applyAlignment="1">
      <alignment horizontal="center" vertical="center"/>
    </xf>
    <xf numFmtId="0" fontId="0" fillId="10" borderId="7" xfId="0" applyFill="1" applyBorder="1"/>
    <xf numFmtId="0" fontId="0" fillId="10" borderId="4" xfId="0" applyFill="1" applyBorder="1"/>
    <xf numFmtId="0" fontId="0" fillId="0" borderId="0" xfId="0" applyBorder="1"/>
    <xf numFmtId="9" fontId="0" fillId="0" borderId="0" xfId="0" applyNumberFormat="1" applyFill="1" applyBorder="1"/>
    <xf numFmtId="2" fontId="0" fillId="9" borderId="11" xfId="0" applyNumberFormat="1" applyFill="1" applyBorder="1" applyAlignment="1">
      <alignment horizontal="center" vertical="center"/>
    </xf>
    <xf numFmtId="2" fontId="0" fillId="12" borderId="11" xfId="0" applyNumberFormat="1" applyFill="1" applyBorder="1" applyAlignment="1">
      <alignment horizontal="center" vertical="center"/>
    </xf>
    <xf numFmtId="0" fontId="4" fillId="10" borderId="11" xfId="0" applyFont="1" applyFill="1" applyBorder="1" applyAlignment="1">
      <alignment horizontal="center" vertical="center"/>
    </xf>
    <xf numFmtId="0" fontId="2" fillId="10" borderId="11" xfId="0" applyFont="1" applyFill="1" applyBorder="1" applyAlignment="1">
      <alignment horizontal="center" vertical="center"/>
    </xf>
    <xf numFmtId="2" fontId="0" fillId="10" borderId="11" xfId="0" applyNumberFormat="1" applyFill="1" applyBorder="1" applyAlignment="1">
      <alignment horizontal="center" vertical="center"/>
    </xf>
    <xf numFmtId="2" fontId="0" fillId="10" borderId="14" xfId="0" applyNumberFormat="1" applyFill="1" applyBorder="1" applyAlignment="1">
      <alignment horizontal="center" vertical="center"/>
    </xf>
    <xf numFmtId="2" fontId="0" fillId="10" borderId="15" xfId="0" applyNumberFormat="1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4" fillId="13" borderId="2" xfId="0" applyFont="1" applyFill="1" applyBorder="1" applyAlignment="1">
      <alignment horizontal="center" vertical="center"/>
    </xf>
    <xf numFmtId="0" fontId="0" fillId="13" borderId="2" xfId="0" applyFill="1" applyBorder="1"/>
    <xf numFmtId="0" fontId="2" fillId="13" borderId="2" xfId="0" applyFont="1" applyFill="1" applyBorder="1" applyAlignment="1">
      <alignment horizontal="center" vertical="center"/>
    </xf>
    <xf numFmtId="2" fontId="0" fillId="13" borderId="2" xfId="0" applyNumberFormat="1" applyFill="1" applyBorder="1" applyAlignment="1">
      <alignment horizontal="center" vertical="center"/>
    </xf>
    <xf numFmtId="0" fontId="0" fillId="13" borderId="2" xfId="0" applyFill="1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0" fillId="3" borderId="2" xfId="0" applyFill="1" applyBorder="1"/>
    <xf numFmtId="0" fontId="5" fillId="0" borderId="10" xfId="0" applyFont="1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0" xfId="0" quotePrefix="1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5" fillId="0" borderId="0" xfId="0" applyFont="1" applyBorder="1"/>
    <xf numFmtId="0" fontId="6" fillId="0" borderId="10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4" borderId="0" xfId="0" applyFill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14" fontId="0" fillId="0" borderId="3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0" fontId="0" fillId="6" borderId="2" xfId="0" quotePrefix="1" applyFill="1" applyBorder="1" applyAlignment="1">
      <alignment horizontal="center"/>
    </xf>
    <xf numFmtId="0" fontId="0" fillId="6" borderId="4" xfId="0" quotePrefix="1" applyFill="1" applyBorder="1" applyAlignment="1">
      <alignment horizontal="center"/>
    </xf>
    <xf numFmtId="0" fontId="0" fillId="6" borderId="5" xfId="0" quotePrefix="1" applyFill="1" applyBorder="1" applyAlignment="1">
      <alignment horizontal="center"/>
    </xf>
    <xf numFmtId="0" fontId="0" fillId="4" borderId="2" xfId="0" quotePrefix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11" borderId="0" xfId="0" applyFill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2" fontId="0" fillId="10" borderId="11" xfId="0" applyNumberFormat="1" applyFill="1" applyBorder="1" applyAlignment="1">
      <alignment horizontal="center"/>
    </xf>
    <xf numFmtId="2" fontId="0" fillId="10" borderId="12" xfId="0" applyNumberFormat="1" applyFill="1" applyBorder="1" applyAlignment="1">
      <alignment horizontal="center"/>
    </xf>
    <xf numFmtId="2" fontId="0" fillId="10" borderId="0" xfId="0" applyNumberFormat="1" applyFill="1" applyBorder="1" applyAlignment="1">
      <alignment horizontal="center"/>
    </xf>
    <xf numFmtId="2" fontId="0" fillId="4" borderId="0" xfId="0" applyNumberFormat="1" applyFill="1" applyBorder="1" applyAlignment="1">
      <alignment horizontal="center"/>
    </xf>
    <xf numFmtId="2" fontId="0" fillId="10" borderId="13" xfId="0" applyNumberFormat="1" applyFill="1" applyBorder="1" applyAlignment="1">
      <alignment horizontal="center"/>
    </xf>
    <xf numFmtId="2" fontId="0" fillId="4" borderId="11" xfId="0" applyNumberFormat="1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9" fontId="0" fillId="10" borderId="2" xfId="0" applyNumberFormat="1" applyFill="1" applyBorder="1" applyAlignment="1">
      <alignment horizontal="center"/>
    </xf>
    <xf numFmtId="9" fontId="0" fillId="5" borderId="2" xfId="0" applyNumberFormat="1" applyFill="1" applyBorder="1" applyAlignment="1">
      <alignment horizontal="center"/>
    </xf>
    <xf numFmtId="0" fontId="0" fillId="10" borderId="14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20" fontId="0" fillId="13" borderId="2" xfId="0" applyNumberFormat="1" applyFill="1" applyBorder="1" applyAlignment="1">
      <alignment horizontal="center"/>
    </xf>
    <xf numFmtId="0" fontId="0" fillId="10" borderId="7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6" fillId="0" borderId="0" xfId="0" applyFont="1" applyBorder="1" applyAlignment="1">
      <alignment horizontal="center" vertical="center"/>
    </xf>
    <xf numFmtId="9" fontId="8" fillId="10" borderId="2" xfId="0" applyNumberFormat="1" applyFont="1" applyFill="1" applyBorder="1" applyAlignment="1">
      <alignment horizontal="center" vertical="center"/>
    </xf>
    <xf numFmtId="1" fontId="0" fillId="13" borderId="2" xfId="0" applyNumberFormat="1" applyFill="1" applyBorder="1" applyAlignment="1">
      <alignment horizontal="center" vertical="center"/>
    </xf>
    <xf numFmtId="9" fontId="1" fillId="10" borderId="2" xfId="0" applyNumberFormat="1" applyFont="1" applyFill="1" applyBorder="1" applyAlignment="1">
      <alignment horizontal="center" vertical="center"/>
    </xf>
    <xf numFmtId="9" fontId="1" fillId="10" borderId="2" xfId="0" applyNumberFormat="1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  <xf numFmtId="9" fontId="9" fillId="10" borderId="0" xfId="0" applyNumberFormat="1" applyFont="1" applyFill="1" applyBorder="1" applyAlignment="1">
      <alignment horizontal="center" vertical="center"/>
    </xf>
    <xf numFmtId="0" fontId="1" fillId="13" borderId="4" xfId="0" applyFont="1" applyFill="1" applyBorder="1" applyAlignment="1">
      <alignment horizontal="center"/>
    </xf>
    <xf numFmtId="9" fontId="1" fillId="10" borderId="4" xfId="0" applyNumberFormat="1" applyFont="1" applyFill="1" applyBorder="1" applyAlignment="1">
      <alignment horizontal="center" vertical="center"/>
    </xf>
    <xf numFmtId="1" fontId="0" fillId="13" borderId="4" xfId="0" applyNumberFormat="1" applyFill="1" applyBorder="1" applyAlignment="1">
      <alignment horizontal="center" vertical="center"/>
    </xf>
    <xf numFmtId="9" fontId="0" fillId="4" borderId="5" xfId="0" applyNumberFormat="1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49" fontId="0" fillId="13" borderId="4" xfId="0" applyNumberFormat="1" applyFill="1" applyBorder="1" applyAlignment="1">
      <alignment horizontal="center" vertical="center"/>
    </xf>
    <xf numFmtId="0" fontId="0" fillId="0" borderId="0" xfId="0" quotePrefix="1" applyFill="1" applyBorder="1"/>
    <xf numFmtId="1" fontId="0" fillId="13" borderId="2" xfId="0" applyNumberFormat="1" applyFill="1" applyBorder="1" applyAlignment="1">
      <alignment horizontal="center"/>
    </xf>
    <xf numFmtId="9" fontId="1" fillId="10" borderId="5" xfId="0" applyNumberFormat="1" applyFont="1" applyFill="1" applyBorder="1" applyAlignment="1">
      <alignment horizontal="center" vertical="center"/>
    </xf>
    <xf numFmtId="1" fontId="0" fillId="13" borderId="5" xfId="0" applyNumberFormat="1" applyFill="1" applyBorder="1" applyAlignment="1">
      <alignment horizontal="center" vertical="center"/>
    </xf>
    <xf numFmtId="2" fontId="0" fillId="13" borderId="4" xfId="0" applyNumberFormat="1" applyFill="1" applyBorder="1" applyAlignment="1">
      <alignment horizontal="center"/>
    </xf>
    <xf numFmtId="2" fontId="0" fillId="13" borderId="2" xfId="0" applyNumberFormat="1" applyFill="1" applyBorder="1" applyAlignment="1">
      <alignment horizontal="center"/>
    </xf>
    <xf numFmtId="2" fontId="0" fillId="13" borderId="5" xfId="0" applyNumberFormat="1" applyFill="1" applyBorder="1" applyAlignment="1">
      <alignment horizontal="center"/>
    </xf>
    <xf numFmtId="2" fontId="0" fillId="4" borderId="5" xfId="0" applyNumberForma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0" fillId="0" borderId="23" xfId="0" applyFont="1" applyBorder="1" applyAlignment="1">
      <alignment horizontal="center"/>
    </xf>
    <xf numFmtId="0" fontId="0" fillId="0" borderId="24" xfId="0" applyFont="1" applyBorder="1" applyAlignment="1">
      <alignment horizontal="center"/>
    </xf>
    <xf numFmtId="14" fontId="1" fillId="0" borderId="24" xfId="0" applyNumberFormat="1" applyFont="1" applyBorder="1" applyAlignment="1">
      <alignment horizontal="center"/>
    </xf>
    <xf numFmtId="0" fontId="1" fillId="0" borderId="25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3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3200"/>
              <a:t>STR VU XND</a:t>
            </a:r>
          </a:p>
        </c:rich>
      </c:tx>
      <c:layout>
        <c:manualLayout>
          <c:xMode val="edge"/>
          <c:yMode val="edge"/>
          <c:x val="0.3166863601564246"/>
          <c:y val="3.030303030303030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32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5.5286943216290511E-2"/>
          <c:y val="0.13441756144118353"/>
          <c:w val="0.9457221422804557"/>
          <c:h val="0.65433620797400338"/>
        </c:manualLayout>
      </c:layout>
      <c:barChart>
        <c:barDir val="col"/>
        <c:grouping val="clustered"/>
        <c:varyColors val="0"/>
        <c:ser>
          <c:idx val="6"/>
          <c:order val="6"/>
          <c:tx>
            <c:strRef>
              <c:f>'STR &amp; SRT + QRW ZONE'!$A$8</c:f>
              <c:strCache>
                <c:ptCount val="1"/>
                <c:pt idx="0">
                  <c:v>STR VU</c:v>
                </c:pt>
              </c:strCache>
            </c:strRef>
          </c:tx>
          <c:spPr>
            <a:gradFill>
              <a:gsLst>
                <a:gs pos="0">
                  <a:sysClr val="windowText" lastClr="000000"/>
                </a:gs>
                <a:gs pos="50000">
                  <a:srgbClr val="70AD47">
                    <a:lumMod val="75000"/>
                  </a:srgbClr>
                </a:gs>
                <a:gs pos="100000">
                  <a:sysClr val="windowText" lastClr="000000"/>
                </a:gs>
              </a:gsLst>
              <a:lin ang="0" scaled="0"/>
            </a:gra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gradFill>
                <a:gsLst>
                  <a:gs pos="0">
                    <a:sysClr val="windowText" lastClr="000000"/>
                  </a:gs>
                  <a:gs pos="50000">
                    <a:srgbClr val="FF0000"/>
                  </a:gs>
                  <a:gs pos="100000">
                    <a:sysClr val="windowText" lastClr="000000"/>
                  </a:gs>
                </a:gsLst>
                <a:lin ang="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FC5-4B88-BD38-BC8CCAE3D656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0">
                    <a:sysClr val="windowText" lastClr="000000"/>
                  </a:gs>
                  <a:gs pos="50000">
                    <a:srgbClr val="70AD47">
                      <a:lumMod val="75000"/>
                    </a:srgbClr>
                  </a:gs>
                  <a:gs pos="100000">
                    <a:sysClr val="windowText" lastClr="000000"/>
                  </a:gs>
                </a:gsLst>
                <a:lin ang="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FC5-4B88-BD38-BC8CCAE3D656}"/>
              </c:ext>
            </c:extLst>
          </c:dPt>
          <c:dPt>
            <c:idx val="5"/>
            <c:invertIfNegative val="0"/>
            <c:bubble3D val="0"/>
            <c:spPr>
              <a:gradFill>
                <a:gsLst>
                  <a:gs pos="0">
                    <a:sysClr val="windowText" lastClr="000000"/>
                  </a:gs>
                  <a:gs pos="50000">
                    <a:srgbClr val="70AD47">
                      <a:lumMod val="75000"/>
                    </a:srgbClr>
                  </a:gs>
                  <a:gs pos="100000">
                    <a:sysClr val="windowText" lastClr="000000"/>
                  </a:gs>
                </a:gsLst>
                <a:lin ang="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FC5-4B88-BD38-BC8CCAE3D656}"/>
              </c:ext>
            </c:extLst>
          </c:dPt>
          <c:dPt>
            <c:idx val="6"/>
            <c:invertIfNegative val="0"/>
            <c:bubble3D val="0"/>
            <c:spPr>
              <a:solidFill>
                <a:srgbClr val="70AD47">
                  <a:lumMod val="5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FC5-4B88-BD38-BC8CCAE3D656}"/>
              </c:ext>
            </c:extLst>
          </c:dPt>
          <c:dPt>
            <c:idx val="7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FC5-4B88-BD38-BC8CCAE3D656}"/>
              </c:ext>
            </c:extLst>
          </c:dPt>
          <c:dPt>
            <c:idx val="8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FC5-4B88-BD38-BC8CCAE3D656}"/>
              </c:ext>
            </c:extLst>
          </c:dPt>
          <c:dPt>
            <c:idx val="9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FC5-4B88-BD38-BC8CCAE3D656}"/>
              </c:ext>
            </c:extLst>
          </c:dPt>
          <c:dPt>
            <c:idx val="1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A-A542-422E-9F90-4842CAF01196}"/>
              </c:ext>
            </c:extLst>
          </c:dPt>
          <c:dPt>
            <c:idx val="1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734-4A56-901C-9EB94A7D28F6}"/>
              </c:ext>
            </c:extLst>
          </c:dPt>
          <c:dPt>
            <c:idx val="1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CFC5-4B88-BD38-BC8CCAE3D656}"/>
              </c:ext>
            </c:extLst>
          </c:dPt>
          <c:dPt>
            <c:idx val="1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CFC5-4B88-BD38-BC8CCAE3D656}"/>
              </c:ext>
            </c:extLst>
          </c:dPt>
          <c:dPt>
            <c:idx val="1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CFC5-4B88-BD38-BC8CCAE3D656}"/>
              </c:ext>
            </c:extLst>
          </c:dPt>
          <c:dPt>
            <c:idx val="1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CFC5-4B88-BD38-BC8CCAE3D656}"/>
              </c:ext>
            </c:extLst>
          </c:dPt>
          <c:dPt>
            <c:idx val="17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C734-4A56-901C-9EB94A7D28F6}"/>
              </c:ext>
            </c:extLst>
          </c:dPt>
          <c:dPt>
            <c:idx val="18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3633-42CD-8EB7-DEB59563BA0C}"/>
              </c:ext>
            </c:extLst>
          </c:dPt>
          <c:dPt>
            <c:idx val="19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BA71-451E-A50B-03FCA367C557}"/>
              </c:ext>
            </c:extLst>
          </c:dPt>
          <c:dPt>
            <c:idx val="2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CFC5-4B88-BD38-BC8CCAE3D656}"/>
              </c:ext>
            </c:extLst>
          </c:dPt>
          <c:dPt>
            <c:idx val="2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CFC5-4B88-BD38-BC8CCAE3D656}"/>
              </c:ext>
            </c:extLst>
          </c:dPt>
          <c:dPt>
            <c:idx val="2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C734-4A56-901C-9EB94A7D28F6}"/>
              </c:ext>
            </c:extLst>
          </c:dPt>
          <c:dPt>
            <c:idx val="2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3633-42CD-8EB7-DEB59563BA0C}"/>
              </c:ext>
            </c:extLst>
          </c:dPt>
          <c:dPt>
            <c:idx val="25"/>
            <c:invertIfNegative val="0"/>
            <c:bubble3D val="0"/>
            <c:spPr>
              <a:solidFill>
                <a:srgbClr val="70AD47">
                  <a:lumMod val="5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BA71-451E-A50B-03FCA367C557}"/>
              </c:ext>
            </c:extLst>
          </c:dPt>
          <c:dLbls>
            <c:dLbl>
              <c:idx val="2"/>
              <c:layout>
                <c:manualLayout>
                  <c:x val="1.6260162601625867E-3"/>
                  <c:y val="0.34336649964209015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CFC5-4B88-BD38-BC8CCAE3D656}"/>
                </c:ext>
              </c:extLst>
            </c:dLbl>
            <c:dLbl>
              <c:idx val="3"/>
              <c:layout>
                <c:manualLayout>
                  <c:x val="0"/>
                  <c:y val="0.35680219518014789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FC5-4B88-BD38-BC8CCAE3D656}"/>
                </c:ext>
              </c:extLst>
            </c:dLbl>
            <c:dLbl>
              <c:idx val="4"/>
              <c:layout>
                <c:manualLayout>
                  <c:x val="-2.9809953735851693E-17"/>
                  <c:y val="0.36048103078024329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FC5-4B88-BD38-BC8CCAE3D656}"/>
                </c:ext>
              </c:extLst>
            </c:dLbl>
            <c:dLbl>
              <c:idx val="5"/>
              <c:layout>
                <c:manualLayout>
                  <c:x val="1.6631973956412272E-3"/>
                  <c:y val="0.28969439346397491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FC5-4B88-BD38-BC8CCAE3D656}"/>
                </c:ext>
              </c:extLst>
            </c:dLbl>
            <c:dLbl>
              <c:idx val="6"/>
              <c:layout>
                <c:manualLayout>
                  <c:x val="-3.0020687332617028E-5"/>
                  <c:y val="0.24145473921023031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FC5-4B88-BD38-BC8CCAE3D656}"/>
                </c:ext>
              </c:extLst>
            </c:dLbl>
            <c:dLbl>
              <c:idx val="7"/>
              <c:layout>
                <c:manualLayout>
                  <c:x val="1.6293279022402661E-3"/>
                  <c:y val="0.3148933751702089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FC5-4B88-BD38-BC8CCAE3D656}"/>
                </c:ext>
              </c:extLst>
            </c:dLbl>
            <c:dLbl>
              <c:idx val="8"/>
              <c:layout>
                <c:manualLayout>
                  <c:x val="-4.887983706720978E-3"/>
                  <c:y val="0.2703697827245277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FC5-4B88-BD38-BC8CCAE3D656}"/>
                </c:ext>
              </c:extLst>
            </c:dLbl>
            <c:dLbl>
              <c:idx val="13"/>
              <c:layout>
                <c:manualLayout>
                  <c:x val="-1.6393347980179843E-3"/>
                  <c:y val="0.12696939198389676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FC5-4B88-BD38-BC8CCAE3D656}"/>
                </c:ext>
              </c:extLst>
            </c:dLbl>
            <c:dLbl>
              <c:idx val="14"/>
              <c:layout>
                <c:manualLayout>
                  <c:x val="-3.2247863110797504E-3"/>
                  <c:y val="0.21560428630631698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FC5-4B88-BD38-BC8CCAE3D656}"/>
                </c:ext>
              </c:extLst>
            </c:dLbl>
            <c:dLbl>
              <c:idx val="15"/>
              <c:layout>
                <c:manualLayout>
                  <c:x val="0"/>
                  <c:y val="0.18914238351784968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FC5-4B88-BD38-BC8CCAE3D656}"/>
                </c:ext>
              </c:extLst>
            </c:dLbl>
            <c:dLbl>
              <c:idx val="16"/>
              <c:layout>
                <c:manualLayout>
                  <c:x val="0"/>
                  <c:y val="0.14318631223728609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FC5-4B88-BD38-BC8CCAE3D656}"/>
                </c:ext>
              </c:extLst>
            </c:dLbl>
            <c:dLbl>
              <c:idx val="19"/>
              <c:layout>
                <c:manualLayout>
                  <c:x val="0"/>
                  <c:y val="0.13355917352436206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BA71-451E-A50B-03FCA367C557}"/>
                </c:ext>
              </c:extLst>
            </c:dLbl>
            <c:dLbl>
              <c:idx val="21"/>
              <c:layout>
                <c:manualLayout>
                  <c:x val="-1.6259922703144795E-3"/>
                  <c:y val="0.2152542774258480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CFC5-4B88-BD38-BC8CCAE3D656}"/>
                </c:ext>
              </c:extLst>
            </c:dLbl>
            <c:dLbl>
              <c:idx val="22"/>
              <c:layout>
                <c:manualLayout>
                  <c:x val="-3.3263947912824544E-3"/>
                  <c:y val="0.1586937422295896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CFC5-4B88-BD38-BC8CCAE3D656}"/>
                </c:ext>
              </c:extLst>
            </c:dLbl>
            <c:dLbl>
              <c:idx val="23"/>
              <c:layout>
                <c:manualLayout>
                  <c:x val="3.2520325203253225E-3"/>
                  <c:y val="0.2392689095681221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C734-4A56-901C-9EB94A7D28F6}"/>
                </c:ext>
              </c:extLst>
            </c:dLbl>
            <c:dLbl>
              <c:idx val="24"/>
              <c:layout>
                <c:manualLayout>
                  <c:x val="-3.3187040144572093E-3"/>
                  <c:y val="0.23926895980107746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3633-42CD-8EB7-DEB59563BA0C}"/>
                </c:ext>
              </c:extLst>
            </c:dLbl>
            <c:dLbl>
              <c:idx val="25"/>
              <c:layout>
                <c:manualLayout>
                  <c:x val="-1.1443783376377071E-4"/>
                  <c:y val="0.2407618258244034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BA71-451E-A50B-03FCA367C5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800" b="1" i="0" u="none" strike="noStrike" kern="1200" baseline="0">
                    <a:solidFill>
                      <a:sysClr val="window" lastClr="FFFFFF"/>
                    </a:solidFill>
                    <a:effectLst>
                      <a:glow rad="127000">
                        <a:sysClr val="windowText" lastClr="000000"/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'STR &amp; SRT + QRW ZONE'!$J$2:$CU$2</c:f>
              <c:strCache>
                <c:ptCount val="26"/>
                <c:pt idx="1">
                  <c:v>ENE</c:v>
                </c:pt>
                <c:pt idx="2">
                  <c:v>FEB</c:v>
                </c:pt>
                <c:pt idx="3">
                  <c:v>MAR</c:v>
                </c:pt>
                <c:pt idx="4">
                  <c:v>ABR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SEPT</c:v>
                </c:pt>
                <c:pt idx="10">
                  <c:v>OCT</c:v>
                </c:pt>
                <c:pt idx="11">
                  <c:v>NOV</c:v>
                </c:pt>
                <c:pt idx="13">
                  <c:v>S43</c:v>
                </c:pt>
                <c:pt idx="14">
                  <c:v>S44</c:v>
                </c:pt>
                <c:pt idx="15">
                  <c:v>S45</c:v>
                </c:pt>
                <c:pt idx="16">
                  <c:v>S46</c:v>
                </c:pt>
                <c:pt idx="17">
                  <c:v>S47</c:v>
                </c:pt>
                <c:pt idx="18">
                  <c:v>S48</c:v>
                </c:pt>
                <c:pt idx="19">
                  <c:v>S49</c:v>
                </c:pt>
                <c:pt idx="21">
                  <c:v>LUN</c:v>
                </c:pt>
                <c:pt idx="22">
                  <c:v>MAR</c:v>
                </c:pt>
                <c:pt idx="23">
                  <c:v>MIE</c:v>
                </c:pt>
                <c:pt idx="24">
                  <c:v>JUE</c:v>
                </c:pt>
                <c:pt idx="25">
                  <c:v>VIE</c:v>
                </c:pt>
              </c:strCache>
            </c:strRef>
          </c:cat>
          <c:val>
            <c:numRef>
              <c:f>'STR &amp; SRT + QRW ZONE'!$J$8:$CU$8</c:f>
              <c:numCache>
                <c:formatCode>0%</c:formatCode>
                <c:ptCount val="26"/>
                <c:pt idx="2">
                  <c:v>0.71</c:v>
                </c:pt>
                <c:pt idx="3">
                  <c:v>0.8</c:v>
                </c:pt>
                <c:pt idx="4">
                  <c:v>0.92</c:v>
                </c:pt>
                <c:pt idx="5">
                  <c:v>0.95</c:v>
                </c:pt>
                <c:pt idx="6">
                  <c:v>0.96</c:v>
                </c:pt>
                <c:pt idx="7">
                  <c:v>0.78</c:v>
                </c:pt>
                <c:pt idx="8">
                  <c:v>0.74</c:v>
                </c:pt>
                <c:pt idx="9">
                  <c:v>0.79689999999999994</c:v>
                </c:pt>
                <c:pt idx="10">
                  <c:v>0.82</c:v>
                </c:pt>
                <c:pt idx="11">
                  <c:v>0.69986666666666664</c:v>
                </c:pt>
                <c:pt idx="13">
                  <c:v>0.82499999999999996</c:v>
                </c:pt>
                <c:pt idx="14">
                  <c:v>0.8226</c:v>
                </c:pt>
                <c:pt idx="15">
                  <c:v>0.63</c:v>
                </c:pt>
                <c:pt idx="16">
                  <c:v>0.41</c:v>
                </c:pt>
                <c:pt idx="17">
                  <c:v>0.7</c:v>
                </c:pt>
                <c:pt idx="18">
                  <c:v>0.876</c:v>
                </c:pt>
                <c:pt idx="19">
                  <c:v>0.8833333333333333</c:v>
                </c:pt>
                <c:pt idx="21">
                  <c:v>0.87</c:v>
                </c:pt>
                <c:pt idx="22">
                  <c:v>0.88</c:v>
                </c:pt>
                <c:pt idx="23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CFC5-4B88-BD38-BC8CCAE3D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812015896"/>
        <c:axId val="1080540552"/>
        <c:extLst>
          <c:ext xmlns:c15="http://schemas.microsoft.com/office/drawing/2012/chart" uri="{02D57815-91ED-43cb-92C2-25804820EDAC}">
            <c15:filteredBarSeries>
              <c15:ser>
                <c:idx val="2"/>
                <c:order val="0"/>
                <c:tx>
                  <c:v>DEPARTAMENTO  CHAPA</c:v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'STR &amp; SRT + QRW ZONE'!$J$2:$CU$2</c15:sqref>
                        </c15:formulaRef>
                      </c:ext>
                    </c:extLst>
                    <c:strCache>
                      <c:ptCount val="26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  <c:pt idx="13">
                        <c:v>S43</c:v>
                      </c:pt>
                      <c:pt idx="14">
                        <c:v>S44</c:v>
                      </c:pt>
                      <c:pt idx="15">
                        <c:v>S45</c:v>
                      </c:pt>
                      <c:pt idx="16">
                        <c:v>S46</c:v>
                      </c:pt>
                      <c:pt idx="17">
                        <c:v>S47</c:v>
                      </c:pt>
                      <c:pt idx="18">
                        <c:v>S48</c:v>
                      </c:pt>
                      <c:pt idx="19">
                        <c:v>S49</c:v>
                      </c:pt>
                      <c:pt idx="21">
                        <c:v>LUN</c:v>
                      </c:pt>
                      <c:pt idx="22">
                        <c:v>MAR</c:v>
                      </c:pt>
                      <c:pt idx="23">
                        <c:v>MIE</c:v>
                      </c:pt>
                      <c:pt idx="24">
                        <c:v>JUE</c:v>
                      </c:pt>
                      <c:pt idx="25">
                        <c:v>VIE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1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>
                  <c:ext xmlns:c16="http://schemas.microsoft.com/office/drawing/2014/chart" uri="{C3380CC4-5D6E-409C-BE32-E72D297353CC}">
                    <c16:uniqueId val="{00000034-CFC5-4B88-BD38-BC8CCAE3D656}"/>
                  </c:ext>
                </c:extLst>
              </c15:ser>
            </c15:filteredBarSeries>
            <c15:filteredBarSeries>
              <c15:ser>
                <c:idx val="0"/>
                <c:order val="1"/>
                <c:tx>
                  <c:v>DEPARTAMENTO MONTAJE VU</c:v>
                </c:tx>
                <c:spPr>
                  <a:solidFill>
                    <a:schemeClr val="accent1">
                      <a:lumMod val="60000"/>
                      <a:lumOff val="4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numFmt formatCode="#,##0.00;;;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ellipsis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lang="en-US" sz="1200" b="1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A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'STR &amp; SRT + QRW ZONE'!$J$2:$CU$2</c15:sqref>
                        </c15:formulaRef>
                      </c:ext>
                    </c:extLst>
                    <c:strCache>
                      <c:ptCount val="26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  <c:pt idx="13">
                        <c:v>S43</c:v>
                      </c:pt>
                      <c:pt idx="14">
                        <c:v>S44</c:v>
                      </c:pt>
                      <c:pt idx="15">
                        <c:v>S45</c:v>
                      </c:pt>
                      <c:pt idx="16">
                        <c:v>S46</c:v>
                      </c:pt>
                      <c:pt idx="17">
                        <c:v>S47</c:v>
                      </c:pt>
                      <c:pt idx="18">
                        <c:v>S48</c:v>
                      </c:pt>
                      <c:pt idx="19">
                        <c:v>S49</c:v>
                      </c:pt>
                      <c:pt idx="21">
                        <c:v>LUN</c:v>
                      </c:pt>
                      <c:pt idx="22">
                        <c:v>MAR</c:v>
                      </c:pt>
                      <c:pt idx="23">
                        <c:v>MIE</c:v>
                      </c:pt>
                      <c:pt idx="24">
                        <c:v>JUE</c:v>
                      </c:pt>
                      <c:pt idx="25">
                        <c:v>VIE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1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CFC5-4B88-BD38-BC8CCAE3D656}"/>
                  </c:ext>
                </c:extLst>
              </c15:ser>
            </c15:filteredBarSeries>
            <c15:filteredBarSeries>
              <c15:ser>
                <c:idx val="1"/>
                <c:order val="2"/>
                <c:tx>
                  <c:v>DEPARTAMENTO PINTURA</c:v>
                </c:tx>
                <c:spPr>
                  <a:gradFill>
                    <a:gsLst>
                      <a:gs pos="0">
                        <a:sysClr val="windowText" lastClr="000000">
                          <a:lumMod val="100000"/>
                        </a:sysClr>
                      </a:gs>
                      <a:gs pos="50000">
                        <a:srgbClr val="FF0000">
                          <a:lumMod val="100000"/>
                        </a:srgbClr>
                      </a:gs>
                      <a:gs pos="100000">
                        <a:sysClr val="windowText" lastClr="000000"/>
                      </a:gs>
                    </a:gsLst>
                    <a:lin ang="10800000" scaled="1"/>
                  </a:gradFill>
                  <a:ln>
                    <a:noFill/>
                  </a:ln>
                  <a:effectLst/>
                </c:spPr>
                <c:invertIfNegative val="0"/>
                <c:dPt>
                  <c:idx val="7"/>
                  <c:invertIfNegative val="0"/>
                  <c:bubble3D val="0"/>
                  <c:spPr>
                    <a:gradFill>
                      <a:gsLst>
                        <a:gs pos="0">
                          <a:sysClr val="windowText" lastClr="000000">
                            <a:lumMod val="100000"/>
                          </a:sysClr>
                        </a:gs>
                        <a:gs pos="50000">
                          <a:srgbClr val="FF0000">
                            <a:lumMod val="100000"/>
                          </a:srgbClr>
                        </a:gs>
                        <a:gs pos="100000">
                          <a:sysClr val="windowText" lastClr="000000"/>
                        </a:gs>
                      </a:gsLst>
                      <a:lin ang="10800000" scaled="1"/>
                    </a:gra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7-CFC5-4B88-BD38-BC8CCAE3D656}"/>
                    </c:ext>
                  </c:extLst>
                </c:dPt>
                <c:dPt>
                  <c:idx val="8"/>
                  <c:invertIfNegative val="0"/>
                  <c:bubble3D val="0"/>
                  <c:spPr>
                    <a:gradFill>
                      <a:gsLst>
                        <a:gs pos="0">
                          <a:sysClr val="windowText" lastClr="000000">
                            <a:lumMod val="100000"/>
                          </a:sysClr>
                        </a:gs>
                        <a:gs pos="50000">
                          <a:srgbClr val="FF0000">
                            <a:lumMod val="100000"/>
                          </a:srgbClr>
                        </a:gs>
                        <a:gs pos="100000">
                          <a:sysClr val="windowText" lastClr="000000"/>
                        </a:gs>
                      </a:gsLst>
                      <a:lin ang="10800000" scaled="1"/>
                    </a:gra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9-CFC5-4B88-BD38-BC8CCAE3D656}"/>
                    </c:ext>
                  </c:extLst>
                </c:dPt>
                <c:dLbls>
                  <c:numFmt formatCode="#,##0.00;;;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ellipsis" wrap="square" lIns="38100" tIns="19050" rIns="38100" bIns="19050" anchor="ctr" anchorCtr="0">
                      <a:spAutoFit/>
                    </a:bodyPr>
                    <a:lstStyle/>
                    <a:p>
                      <a:pPr algn="ctr">
                        <a:defRPr lang="en-US" sz="1600" b="1" i="0" u="none" strike="noStrike" kern="1200" baseline="0">
                          <a:solidFill>
                            <a:schemeClr val="bg1"/>
                          </a:solidFill>
                          <a:effectLst>
                            <a:glow rad="127000">
                              <a:schemeClr val="tx1"/>
                            </a:glow>
                          </a:effectLst>
                          <a:latin typeface="+mn-lt"/>
                          <a:ea typeface="+mn-ea"/>
                          <a:cs typeface="+mn-cs"/>
                        </a:defRPr>
                      </a:pPr>
                      <a:endParaRPr lang="es-AR"/>
                    </a:p>
                  </c:txPr>
                  <c:dLblPos val="inBase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0"/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'STR &amp; SRT + QRW ZONE'!$J$2:$CU$2</c15:sqref>
                        </c15:formulaRef>
                      </c:ext>
                    </c:extLst>
                    <c:strCache>
                      <c:ptCount val="26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  <c:pt idx="13">
                        <c:v>S43</c:v>
                      </c:pt>
                      <c:pt idx="14">
                        <c:v>S44</c:v>
                      </c:pt>
                      <c:pt idx="15">
                        <c:v>S45</c:v>
                      </c:pt>
                      <c:pt idx="16">
                        <c:v>S46</c:v>
                      </c:pt>
                      <c:pt idx="17">
                        <c:v>S47</c:v>
                      </c:pt>
                      <c:pt idx="18">
                        <c:v>S48</c:v>
                      </c:pt>
                      <c:pt idx="19">
                        <c:v>S49</c:v>
                      </c:pt>
                      <c:pt idx="21">
                        <c:v>LUN</c:v>
                      </c:pt>
                      <c:pt idx="22">
                        <c:v>MAR</c:v>
                      </c:pt>
                      <c:pt idx="23">
                        <c:v>MIE</c:v>
                      </c:pt>
                      <c:pt idx="24">
                        <c:v>JUE</c:v>
                      </c:pt>
                      <c:pt idx="25">
                        <c:v>VIE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0.5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CFC5-4B88-BD38-BC8CCAE3D656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v>CALIDAD DE PIEZAS</c:v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'STR &amp; SRT + QRW ZONE'!$J$2:$CU$2</c15:sqref>
                        </c15:formulaRef>
                      </c:ext>
                    </c:extLst>
                    <c:strCache>
                      <c:ptCount val="26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  <c:pt idx="13">
                        <c:v>S43</c:v>
                      </c:pt>
                      <c:pt idx="14">
                        <c:v>S44</c:v>
                      </c:pt>
                      <c:pt idx="15">
                        <c:v>S45</c:v>
                      </c:pt>
                      <c:pt idx="16">
                        <c:v>S46</c:v>
                      </c:pt>
                      <c:pt idx="17">
                        <c:v>S47</c:v>
                      </c:pt>
                      <c:pt idx="18">
                        <c:v>S48</c:v>
                      </c:pt>
                      <c:pt idx="19">
                        <c:v>S49</c:v>
                      </c:pt>
                      <c:pt idx="21">
                        <c:v>LUN</c:v>
                      </c:pt>
                      <c:pt idx="22">
                        <c:v>MAR</c:v>
                      </c:pt>
                      <c:pt idx="23">
                        <c:v>MIE</c:v>
                      </c:pt>
                      <c:pt idx="24">
                        <c:v>JUE</c:v>
                      </c:pt>
                      <c:pt idx="25">
                        <c:v>VIE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0.01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CFC5-4B88-BD38-BC8CCAE3D656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v>DIRECCION ADJUNTA TECNICA</c:v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'STR &amp; SRT + QRW ZONE'!$J$2:$CU$2</c15:sqref>
                        </c15:formulaRef>
                      </c:ext>
                    </c:extLst>
                    <c:strCache>
                      <c:ptCount val="26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  <c:pt idx="13">
                        <c:v>S43</c:v>
                      </c:pt>
                      <c:pt idx="14">
                        <c:v>S44</c:v>
                      </c:pt>
                      <c:pt idx="15">
                        <c:v>S45</c:v>
                      </c:pt>
                      <c:pt idx="16">
                        <c:v>S46</c:v>
                      </c:pt>
                      <c:pt idx="17">
                        <c:v>S47</c:v>
                      </c:pt>
                      <c:pt idx="18">
                        <c:v>S48</c:v>
                      </c:pt>
                      <c:pt idx="19">
                        <c:v>S49</c:v>
                      </c:pt>
                      <c:pt idx="21">
                        <c:v>LUN</c:v>
                      </c:pt>
                      <c:pt idx="22">
                        <c:v>MAR</c:v>
                      </c:pt>
                      <c:pt idx="23">
                        <c:v>MIE</c:v>
                      </c:pt>
                      <c:pt idx="24">
                        <c:v>JUE</c:v>
                      </c:pt>
                      <c:pt idx="25">
                        <c:v>VIE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0.01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CFC5-4B88-BD38-BC8CCAE3D656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v>DEPARTAMENTO LOGISTICA INDUSTRIAL</c:v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'STR &amp; SRT + QRW ZONE'!$J$2:$CU$2</c15:sqref>
                        </c15:formulaRef>
                      </c:ext>
                    </c:extLst>
                    <c:strCache>
                      <c:ptCount val="26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  <c:pt idx="13">
                        <c:v>S43</c:v>
                      </c:pt>
                      <c:pt idx="14">
                        <c:v>S44</c:v>
                      </c:pt>
                      <c:pt idx="15">
                        <c:v>S45</c:v>
                      </c:pt>
                      <c:pt idx="16">
                        <c:v>S46</c:v>
                      </c:pt>
                      <c:pt idx="17">
                        <c:v>S47</c:v>
                      </c:pt>
                      <c:pt idx="18">
                        <c:v>S48</c:v>
                      </c:pt>
                      <c:pt idx="19">
                        <c:v>S49</c:v>
                      </c:pt>
                      <c:pt idx="21">
                        <c:v>LUN</c:v>
                      </c:pt>
                      <c:pt idx="22">
                        <c:v>MAR</c:v>
                      </c:pt>
                      <c:pt idx="23">
                        <c:v>MIE</c:v>
                      </c:pt>
                      <c:pt idx="24">
                        <c:v>JUE</c:v>
                      </c:pt>
                      <c:pt idx="25">
                        <c:v>VIE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0.2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CFC5-4B88-BD38-BC8CCAE3D656}"/>
                  </c:ext>
                </c:extLst>
              </c15:ser>
            </c15:filteredBarSeries>
          </c:ext>
        </c:extLst>
      </c:barChart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390566464"/>
        <c:axId val="297315856"/>
        <c:extLst>
          <c:ext xmlns:c15="http://schemas.microsoft.com/office/drawing/2012/chart" uri="{02D57815-91ED-43cb-92C2-25804820EDAC}">
            <c15:filteredBarSeries>
              <c15:ser>
                <c:idx val="7"/>
                <c:order val="7"/>
                <c:tx>
                  <c:v>Trayectoria</c:v>
                </c:tx>
                <c:spPr>
                  <a:noFill/>
                  <a:ln w="22225">
                    <a:solidFill>
                      <a:schemeClr val="tx1"/>
                    </a:solidFill>
                    <a:prstDash val="sysDash"/>
                  </a:ln>
                  <a:effectLst/>
                </c:spPr>
                <c:invertIfNegative val="0"/>
                <c:dLbls>
                  <c:dLbl>
                    <c:idx val="3"/>
                    <c:layout>
                      <c:manualLayout>
                        <c:x val="-1.3909394436840963E-3"/>
                        <c:y val="-0.24768553930758655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3E-CFC5-4B88-BD38-BC8CCAE3D656}"/>
                      </c:ext>
                    </c:extLst>
                  </c:dLbl>
                  <c:dLbl>
                    <c:idx val="4"/>
                    <c:layout>
                      <c:manualLayout>
                        <c:x val="0"/>
                        <c:y val="-7.954555680539932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3F-CFC5-4B88-BD38-BC8CCAE3D656}"/>
                      </c:ext>
                    </c:extLst>
                  </c:dLbl>
                  <c:dLbl>
                    <c:idx val="6"/>
                    <c:layout>
                      <c:manualLayout>
                        <c:x val="0"/>
                        <c:y val="-2.443281245911837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40-CFC5-4B88-BD38-BC8CCAE3D656}"/>
                      </c:ext>
                    </c:extLst>
                  </c:dLbl>
                  <c:dLbl>
                    <c:idx val="7"/>
                    <c:layout>
                      <c:manualLayout>
                        <c:x val="0"/>
                        <c:y val="-6.3525312393707692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41-CFC5-4B88-BD38-BC8CCAE3D656}"/>
                      </c:ext>
                    </c:extLst>
                  </c:dLbl>
                  <c:dLbl>
                    <c:idx val="10"/>
                    <c:layout>
                      <c:manualLayout>
                        <c:x val="2.7819171878015339E-3"/>
                        <c:y val="-1.4659687475471085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42-CFC5-4B88-BD38-BC8CCAE3D656}"/>
                      </c:ext>
                    </c:extLst>
                  </c:dLbl>
                  <c:dLbl>
                    <c:idx val="11"/>
                    <c:layout>
                      <c:manualLayout>
                        <c:x val="2.781917187801432E-3"/>
                        <c:y val="-1.4659687475470995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43-CFC5-4B88-BD38-BC8CCAE3D656}"/>
                      </c:ext>
                    </c:extLst>
                  </c:dLbl>
                  <c:dLbl>
                    <c:idx val="12"/>
                    <c:layout>
                      <c:manualLayout>
                        <c:x val="2.781917187801432E-3"/>
                        <c:y val="1.9546249967294659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44-CFC5-4B88-BD38-BC8CCAE3D656}"/>
                      </c:ext>
                    </c:extLst>
                  </c:dLbl>
                  <c:numFmt formatCode="#,##0.0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0">
                      <a:spAutoFit/>
                    </a:bodyPr>
                    <a:lstStyle/>
                    <a:p>
                      <a:pPr algn="ctr">
                        <a:defRPr lang="en-US" sz="1000" b="1" i="1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A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0"/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'STR &amp; SRT + QRW ZONE'!$J$2:$BF$2</c15:sqref>
                        </c15:formulaRef>
                      </c:ext>
                    </c:extLst>
                    <c:strCache>
                      <c:ptCount val="12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0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>
                  <c:ext xmlns:c16="http://schemas.microsoft.com/office/drawing/2014/chart" uri="{C3380CC4-5D6E-409C-BE32-E72D297353CC}">
                    <c16:uniqueId val="{00000045-CFC5-4B88-BD38-BC8CCAE3D656}"/>
                  </c:ext>
                </c:extLst>
              </c15:ser>
            </c15:filteredBarSeries>
          </c:ext>
        </c:extLst>
      </c:barChart>
      <c:lineChart>
        <c:grouping val="stacked"/>
        <c:varyColors val="0"/>
        <c:ser>
          <c:idx val="8"/>
          <c:order val="8"/>
          <c:tx>
            <c:strRef>
              <c:f>'STR &amp; SRT + QRW ZONE'!$A$22</c:f>
              <c:strCache>
                <c:ptCount val="1"/>
                <c:pt idx="0">
                  <c:v>TARGET</c:v>
                </c:pt>
              </c:strCache>
            </c:strRef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5B9BD5">
                  <a:lumMod val="50000"/>
                </a:srgbClr>
              </a:solidFill>
              <a:ln w="9525">
                <a:solidFill>
                  <a:srgbClr val="5B9BD5">
                    <a:lumMod val="50000"/>
                  </a:srgbClr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rgbClr val="5B9BD5">
                    <a:lumMod val="50000"/>
                  </a:srgbClr>
                </a:solidFill>
                <a:ln w="9525">
                  <a:solidFill>
                    <a:srgbClr val="5B9BD5">
                      <a:lumMod val="50000"/>
                    </a:srgbClr>
                  </a:solidFill>
                </a:ln>
                <a:effectLst/>
              </c:spPr>
            </c:marker>
            <c:bubble3D val="0"/>
            <c:spPr>
              <a:ln w="25400" cap="rnd">
                <a:solidFill>
                  <a:srgbClr val="5B9BD5">
                    <a:lumMod val="50000"/>
                  </a:srgb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CFC5-4B88-BD38-BC8CCAE3D656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CFC5-4B88-BD38-BC8CCAE3D656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C734-4A56-901C-9EB94A7D28F6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CFC5-4B88-BD38-BC8CCAE3D656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CFC5-4B88-BD38-BC8CCAE3D656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CFC5-4B88-BD38-BC8CCAE3D656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3633-42CD-8EB7-DEB59563BA0C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BA71-451E-A50B-03FCA367C557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CFC5-4B88-BD38-BC8CCAE3D656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C734-4A56-901C-9EB94A7D28F6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3633-42CD-8EB7-DEB59563BA0C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BA71-451E-A50B-03FCA367C5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5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'STR &amp; SRT + QRW ZONE'!$P$2:$CU$2</c:f>
              <c:strCache>
                <c:ptCount val="25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2">
                  <c:v>S43</c:v>
                </c:pt>
                <c:pt idx="13">
                  <c:v>S44</c:v>
                </c:pt>
                <c:pt idx="14">
                  <c:v>S45</c:v>
                </c:pt>
                <c:pt idx="15">
                  <c:v>S46</c:v>
                </c:pt>
                <c:pt idx="16">
                  <c:v>S47</c:v>
                </c:pt>
                <c:pt idx="17">
                  <c:v>S48</c:v>
                </c:pt>
                <c:pt idx="18">
                  <c:v>S49</c:v>
                </c:pt>
                <c:pt idx="20">
                  <c:v>LUN</c:v>
                </c:pt>
                <c:pt idx="21">
                  <c:v>MAR</c:v>
                </c:pt>
                <c:pt idx="22">
                  <c:v>MIE</c:v>
                </c:pt>
                <c:pt idx="23">
                  <c:v>JUE</c:v>
                </c:pt>
                <c:pt idx="24">
                  <c:v>VIE</c:v>
                </c:pt>
              </c:strCache>
            </c:strRef>
          </c:cat>
          <c:val>
            <c:numRef>
              <c:f>'STR &amp; SRT + QRW ZONE'!$P$22:$CU$22</c:f>
              <c:numCache>
                <c:formatCode>0%</c:formatCode>
                <c:ptCount val="25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0.85</c:v>
                </c:pt>
                <c:pt idx="4">
                  <c:v>0.9</c:v>
                </c:pt>
                <c:pt idx="5">
                  <c:v>0.93</c:v>
                </c:pt>
                <c:pt idx="6">
                  <c:v>0.93</c:v>
                </c:pt>
                <c:pt idx="7">
                  <c:v>0.94</c:v>
                </c:pt>
                <c:pt idx="8">
                  <c:v>0.94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0.94</c:v>
                </c:pt>
                <c:pt idx="13">
                  <c:v>0.94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CFC5-4B88-BD38-BC8CCAE3D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2015896"/>
        <c:axId val="1080540552"/>
        <c:extLst/>
      </c:lineChart>
      <c:catAx>
        <c:axId val="812015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080540552"/>
        <c:crosses val="autoZero"/>
        <c:auto val="1"/>
        <c:lblAlgn val="ctr"/>
        <c:lblOffset val="100"/>
        <c:noMultiLvlLbl val="0"/>
      </c:catAx>
      <c:valAx>
        <c:axId val="1080540552"/>
        <c:scaling>
          <c:orientation val="minMax"/>
          <c:max val="1"/>
        </c:scaling>
        <c:delete val="0"/>
        <c:axPos val="l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812015896"/>
        <c:crosses val="autoZero"/>
        <c:crossBetween val="between"/>
      </c:valAx>
      <c:valAx>
        <c:axId val="297315856"/>
        <c:scaling>
          <c:orientation val="minMax"/>
          <c:max val="10"/>
        </c:scaling>
        <c:delete val="1"/>
        <c:axPos val="r"/>
        <c:numFmt formatCode="0.00" sourceLinked="1"/>
        <c:majorTickMark val="out"/>
        <c:minorTickMark val="none"/>
        <c:tickLblPos val="nextTo"/>
        <c:crossAx val="390566464"/>
        <c:crosses val="max"/>
        <c:crossBetween val="between"/>
      </c:valAx>
      <c:catAx>
        <c:axId val="390566464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297315856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.39797741061055891"/>
          <c:y val="0.88772600793321887"/>
          <c:w val="0.25744489981240964"/>
          <c:h val="0.10959341445955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6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 algn="ctr">
        <a:defRPr lang="en-US" sz="1000" b="1" i="0" u="none" strike="noStrike" kern="1200" baseline="0">
          <a:solidFill>
            <a:sysClr val="windowText" lastClr="000000"/>
          </a:solidFill>
          <a:latin typeface="+mn-lt"/>
          <a:ea typeface="+mn-ea"/>
          <a:cs typeface="+mn-cs"/>
        </a:defRPr>
      </a:pPr>
      <a:endParaRPr lang="es-AR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3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3200"/>
              <a:t>STR VU XND + RET2</a:t>
            </a:r>
          </a:p>
        </c:rich>
      </c:tx>
      <c:layout>
        <c:manualLayout>
          <c:xMode val="edge"/>
          <c:yMode val="edge"/>
          <c:x val="0.3166863601564246"/>
          <c:y val="3.030303030303030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32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5.5286943216290511E-2"/>
          <c:y val="0.13441756144118353"/>
          <c:w val="0.9457221422804557"/>
          <c:h val="0.65433620797400338"/>
        </c:manualLayout>
      </c:layout>
      <c:barChart>
        <c:barDir val="col"/>
        <c:grouping val="clustered"/>
        <c:varyColors val="0"/>
        <c:ser>
          <c:idx val="6"/>
          <c:order val="6"/>
          <c:tx>
            <c:strRef>
              <c:f>'STR &amp; SRT + QRW ZONE'!$A$9</c:f>
              <c:strCache>
                <c:ptCount val="1"/>
                <c:pt idx="0">
                  <c:v>STR(+RET2)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Pt>
            <c:idx val="1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CB0-4E1D-A242-CD84A92E3874}"/>
              </c:ext>
            </c:extLst>
          </c:dPt>
          <c:dPt>
            <c:idx val="2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DAC-4ABF-819D-7ABF29793CF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n-US" sz="18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'STR &amp; SRT + QRW ZONE'!$J$2:$CV$2</c:f>
              <c:strCache>
                <c:ptCount val="26"/>
                <c:pt idx="1">
                  <c:v>ENE</c:v>
                </c:pt>
                <c:pt idx="2">
                  <c:v>FEB</c:v>
                </c:pt>
                <c:pt idx="3">
                  <c:v>MAR</c:v>
                </c:pt>
                <c:pt idx="4">
                  <c:v>ABR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SEPT</c:v>
                </c:pt>
                <c:pt idx="10">
                  <c:v>OCT</c:v>
                </c:pt>
                <c:pt idx="11">
                  <c:v>NOV</c:v>
                </c:pt>
                <c:pt idx="13">
                  <c:v>S43</c:v>
                </c:pt>
                <c:pt idx="14">
                  <c:v>S44</c:v>
                </c:pt>
                <c:pt idx="15">
                  <c:v>S45</c:v>
                </c:pt>
                <c:pt idx="16">
                  <c:v>S46</c:v>
                </c:pt>
                <c:pt idx="17">
                  <c:v>S47</c:v>
                </c:pt>
                <c:pt idx="18">
                  <c:v>S48</c:v>
                </c:pt>
                <c:pt idx="19">
                  <c:v>S49</c:v>
                </c:pt>
                <c:pt idx="21">
                  <c:v>LUN</c:v>
                </c:pt>
                <c:pt idx="22">
                  <c:v>MAR</c:v>
                </c:pt>
                <c:pt idx="23">
                  <c:v>MIE</c:v>
                </c:pt>
                <c:pt idx="24">
                  <c:v>JUE</c:v>
                </c:pt>
                <c:pt idx="25">
                  <c:v>VIE</c:v>
                </c:pt>
              </c:strCache>
            </c:strRef>
          </c:cat>
          <c:val>
            <c:numRef>
              <c:f>'STR &amp; SRT + QRW ZONE'!$J$9:$CV$9</c:f>
              <c:numCache>
                <c:formatCode>0.00</c:formatCode>
                <c:ptCount val="27"/>
                <c:pt idx="4" formatCode="0%">
                  <c:v>0.54</c:v>
                </c:pt>
                <c:pt idx="5" formatCode="0%">
                  <c:v>0.56999999999999995</c:v>
                </c:pt>
                <c:pt idx="6" formatCode="0%">
                  <c:v>0.43</c:v>
                </c:pt>
                <c:pt idx="7" formatCode="0%">
                  <c:v>0.55000000000000004</c:v>
                </c:pt>
                <c:pt idx="8" formatCode="0%">
                  <c:v>0.52</c:v>
                </c:pt>
                <c:pt idx="9" formatCode="0%">
                  <c:v>0.56420000000000003</c:v>
                </c:pt>
                <c:pt idx="10" formatCode="0%">
                  <c:v>0</c:v>
                </c:pt>
                <c:pt idx="11" formatCode="0%">
                  <c:v>0.63</c:v>
                </c:pt>
                <c:pt idx="13" formatCode="0%">
                  <c:v>0.56840000000000002</c:v>
                </c:pt>
                <c:pt idx="14" formatCode="0%">
                  <c:v>0.63300000000000001</c:v>
                </c:pt>
                <c:pt idx="15" formatCode="0%">
                  <c:v>0.63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D60-42DA-B64A-7DBE49EBA8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90567640"/>
        <c:axId val="390568032"/>
        <c:extLst>
          <c:ext xmlns:c15="http://schemas.microsoft.com/office/drawing/2012/chart" uri="{02D57815-91ED-43cb-92C2-25804820EDAC}">
            <c15:filteredBarSeries>
              <c15:ser>
                <c:idx val="2"/>
                <c:order val="0"/>
                <c:tx>
                  <c:v>DEPARTAMENTO  CHAPA</c:v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'STR &amp; SRT + QRW ZONE'!$J$2:$CV$2</c15:sqref>
                        </c15:formulaRef>
                      </c:ext>
                    </c:extLst>
                    <c:strCache>
                      <c:ptCount val="26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  <c:pt idx="13">
                        <c:v>S43</c:v>
                      </c:pt>
                      <c:pt idx="14">
                        <c:v>S44</c:v>
                      </c:pt>
                      <c:pt idx="15">
                        <c:v>S45</c:v>
                      </c:pt>
                      <c:pt idx="16">
                        <c:v>S46</c:v>
                      </c:pt>
                      <c:pt idx="17">
                        <c:v>S47</c:v>
                      </c:pt>
                      <c:pt idx="18">
                        <c:v>S48</c:v>
                      </c:pt>
                      <c:pt idx="19">
                        <c:v>S49</c:v>
                      </c:pt>
                      <c:pt idx="21">
                        <c:v>LUN</c:v>
                      </c:pt>
                      <c:pt idx="22">
                        <c:v>MAR</c:v>
                      </c:pt>
                      <c:pt idx="23">
                        <c:v>MIE</c:v>
                      </c:pt>
                      <c:pt idx="24">
                        <c:v>JUE</c:v>
                      </c:pt>
                      <c:pt idx="25">
                        <c:v>VIE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1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>
                  <c:ext xmlns:c16="http://schemas.microsoft.com/office/drawing/2014/chart" uri="{C3380CC4-5D6E-409C-BE32-E72D297353CC}">
                    <c16:uniqueId val="{00000014-9D60-42DA-B64A-7DBE49EBA82B}"/>
                  </c:ext>
                </c:extLst>
              </c15:ser>
            </c15:filteredBarSeries>
            <c15:filteredBarSeries>
              <c15:ser>
                <c:idx val="0"/>
                <c:order val="1"/>
                <c:tx>
                  <c:v>DEPARTAMENTO MONTAJE VU</c:v>
                </c:tx>
                <c:spPr>
                  <a:solidFill>
                    <a:schemeClr val="accent1">
                      <a:lumMod val="60000"/>
                      <a:lumOff val="4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numFmt formatCode="#,##0.00;;;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ellipsis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lang="en-US" sz="1200" b="1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A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'STR &amp; SRT + QRW ZONE'!$J$2:$CV$2</c15:sqref>
                        </c15:formulaRef>
                      </c:ext>
                    </c:extLst>
                    <c:strCache>
                      <c:ptCount val="26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  <c:pt idx="13">
                        <c:v>S43</c:v>
                      </c:pt>
                      <c:pt idx="14">
                        <c:v>S44</c:v>
                      </c:pt>
                      <c:pt idx="15">
                        <c:v>S45</c:v>
                      </c:pt>
                      <c:pt idx="16">
                        <c:v>S46</c:v>
                      </c:pt>
                      <c:pt idx="17">
                        <c:v>S47</c:v>
                      </c:pt>
                      <c:pt idx="18">
                        <c:v>S48</c:v>
                      </c:pt>
                      <c:pt idx="19">
                        <c:v>S49</c:v>
                      </c:pt>
                      <c:pt idx="21">
                        <c:v>LUN</c:v>
                      </c:pt>
                      <c:pt idx="22">
                        <c:v>MAR</c:v>
                      </c:pt>
                      <c:pt idx="23">
                        <c:v>MIE</c:v>
                      </c:pt>
                      <c:pt idx="24">
                        <c:v>JUE</c:v>
                      </c:pt>
                      <c:pt idx="25">
                        <c:v>VIE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1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9D60-42DA-B64A-7DBE49EBA82B}"/>
                  </c:ext>
                </c:extLst>
              </c15:ser>
            </c15:filteredBarSeries>
            <c15:filteredBarSeries>
              <c15:ser>
                <c:idx val="1"/>
                <c:order val="2"/>
                <c:tx>
                  <c:v>DEPARTAMENTO PINTURA</c:v>
                </c:tx>
                <c:spPr>
                  <a:gradFill>
                    <a:gsLst>
                      <a:gs pos="0">
                        <a:sysClr val="windowText" lastClr="000000">
                          <a:lumMod val="100000"/>
                        </a:sysClr>
                      </a:gs>
                      <a:gs pos="50000">
                        <a:srgbClr val="FF0000">
                          <a:lumMod val="100000"/>
                        </a:srgbClr>
                      </a:gs>
                      <a:gs pos="100000">
                        <a:sysClr val="windowText" lastClr="000000"/>
                      </a:gs>
                    </a:gsLst>
                    <a:lin ang="10800000" scaled="1"/>
                  </a:gradFill>
                  <a:ln>
                    <a:noFill/>
                  </a:ln>
                  <a:effectLst/>
                </c:spPr>
                <c:invertIfNegative val="0"/>
                <c:dPt>
                  <c:idx val="7"/>
                  <c:invertIfNegative val="0"/>
                  <c:bubble3D val="0"/>
                  <c:spPr>
                    <a:gradFill>
                      <a:gsLst>
                        <a:gs pos="0">
                          <a:sysClr val="windowText" lastClr="000000">
                            <a:lumMod val="100000"/>
                          </a:sysClr>
                        </a:gs>
                        <a:gs pos="50000">
                          <a:srgbClr val="FF0000">
                            <a:lumMod val="100000"/>
                          </a:srgbClr>
                        </a:gs>
                        <a:gs pos="100000">
                          <a:sysClr val="windowText" lastClr="000000"/>
                        </a:gs>
                      </a:gsLst>
                      <a:lin ang="10800000" scaled="1"/>
                    </a:gra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7-9D60-42DA-B64A-7DBE49EBA82B}"/>
                    </c:ext>
                  </c:extLst>
                </c:dPt>
                <c:dPt>
                  <c:idx val="8"/>
                  <c:invertIfNegative val="0"/>
                  <c:bubble3D val="0"/>
                  <c:spPr>
                    <a:gradFill>
                      <a:gsLst>
                        <a:gs pos="0">
                          <a:sysClr val="windowText" lastClr="000000">
                            <a:lumMod val="100000"/>
                          </a:sysClr>
                        </a:gs>
                        <a:gs pos="50000">
                          <a:srgbClr val="FF0000">
                            <a:lumMod val="100000"/>
                          </a:srgbClr>
                        </a:gs>
                        <a:gs pos="100000">
                          <a:sysClr val="windowText" lastClr="000000"/>
                        </a:gs>
                      </a:gsLst>
                      <a:lin ang="10800000" scaled="1"/>
                    </a:gra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9-9D60-42DA-B64A-7DBE49EBA82B}"/>
                    </c:ext>
                  </c:extLst>
                </c:dPt>
                <c:dLbls>
                  <c:numFmt formatCode="#,##0.00;;;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ellipsis" wrap="square" lIns="38100" tIns="19050" rIns="38100" bIns="19050" anchor="ctr" anchorCtr="0">
                      <a:spAutoFit/>
                    </a:bodyPr>
                    <a:lstStyle/>
                    <a:p>
                      <a:pPr algn="ctr">
                        <a:defRPr lang="en-US" sz="1600" b="1" i="0" u="none" strike="noStrike" kern="1200" baseline="0">
                          <a:solidFill>
                            <a:schemeClr val="bg1"/>
                          </a:solidFill>
                          <a:effectLst>
                            <a:glow rad="127000">
                              <a:schemeClr val="tx1"/>
                            </a:glow>
                          </a:effectLst>
                          <a:latin typeface="+mn-lt"/>
                          <a:ea typeface="+mn-ea"/>
                          <a:cs typeface="+mn-cs"/>
                        </a:defRPr>
                      </a:pPr>
                      <a:endParaRPr lang="es-AR"/>
                    </a:p>
                  </c:txPr>
                  <c:dLblPos val="inBase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0"/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'STR &amp; SRT + QRW ZONE'!$J$2:$CV$2</c15:sqref>
                        </c15:formulaRef>
                      </c:ext>
                    </c:extLst>
                    <c:strCache>
                      <c:ptCount val="26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  <c:pt idx="13">
                        <c:v>S43</c:v>
                      </c:pt>
                      <c:pt idx="14">
                        <c:v>S44</c:v>
                      </c:pt>
                      <c:pt idx="15">
                        <c:v>S45</c:v>
                      </c:pt>
                      <c:pt idx="16">
                        <c:v>S46</c:v>
                      </c:pt>
                      <c:pt idx="17">
                        <c:v>S47</c:v>
                      </c:pt>
                      <c:pt idx="18">
                        <c:v>S48</c:v>
                      </c:pt>
                      <c:pt idx="19">
                        <c:v>S49</c:v>
                      </c:pt>
                      <c:pt idx="21">
                        <c:v>LUN</c:v>
                      </c:pt>
                      <c:pt idx="22">
                        <c:v>MAR</c:v>
                      </c:pt>
                      <c:pt idx="23">
                        <c:v>MIE</c:v>
                      </c:pt>
                      <c:pt idx="24">
                        <c:v>JUE</c:v>
                      </c:pt>
                      <c:pt idx="25">
                        <c:v>VIE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0.5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9D60-42DA-B64A-7DBE49EBA82B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v>CALIDAD DE PIEZAS</c:v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'STR &amp; SRT + QRW ZONE'!$J$2:$CV$2</c15:sqref>
                        </c15:formulaRef>
                      </c:ext>
                    </c:extLst>
                    <c:strCache>
                      <c:ptCount val="26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  <c:pt idx="13">
                        <c:v>S43</c:v>
                      </c:pt>
                      <c:pt idx="14">
                        <c:v>S44</c:v>
                      </c:pt>
                      <c:pt idx="15">
                        <c:v>S45</c:v>
                      </c:pt>
                      <c:pt idx="16">
                        <c:v>S46</c:v>
                      </c:pt>
                      <c:pt idx="17">
                        <c:v>S47</c:v>
                      </c:pt>
                      <c:pt idx="18">
                        <c:v>S48</c:v>
                      </c:pt>
                      <c:pt idx="19">
                        <c:v>S49</c:v>
                      </c:pt>
                      <c:pt idx="21">
                        <c:v>LUN</c:v>
                      </c:pt>
                      <c:pt idx="22">
                        <c:v>MAR</c:v>
                      </c:pt>
                      <c:pt idx="23">
                        <c:v>MIE</c:v>
                      </c:pt>
                      <c:pt idx="24">
                        <c:v>JUE</c:v>
                      </c:pt>
                      <c:pt idx="25">
                        <c:v>VIE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0.01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9D60-42DA-B64A-7DBE49EBA82B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v>DIRECCION ADJUNTA TECNICA</c:v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'STR &amp; SRT + QRW ZONE'!$J$2:$CV$2</c15:sqref>
                        </c15:formulaRef>
                      </c:ext>
                    </c:extLst>
                    <c:strCache>
                      <c:ptCount val="26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  <c:pt idx="13">
                        <c:v>S43</c:v>
                      </c:pt>
                      <c:pt idx="14">
                        <c:v>S44</c:v>
                      </c:pt>
                      <c:pt idx="15">
                        <c:v>S45</c:v>
                      </c:pt>
                      <c:pt idx="16">
                        <c:v>S46</c:v>
                      </c:pt>
                      <c:pt idx="17">
                        <c:v>S47</c:v>
                      </c:pt>
                      <c:pt idx="18">
                        <c:v>S48</c:v>
                      </c:pt>
                      <c:pt idx="19">
                        <c:v>S49</c:v>
                      </c:pt>
                      <c:pt idx="21">
                        <c:v>LUN</c:v>
                      </c:pt>
                      <c:pt idx="22">
                        <c:v>MAR</c:v>
                      </c:pt>
                      <c:pt idx="23">
                        <c:v>MIE</c:v>
                      </c:pt>
                      <c:pt idx="24">
                        <c:v>JUE</c:v>
                      </c:pt>
                      <c:pt idx="25">
                        <c:v>VIE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0.01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9D60-42DA-B64A-7DBE49EBA82B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v>DEPARTAMENTO LOGISTICA INDUSTRIAL</c:v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'STR &amp; SRT + QRW ZONE'!$J$2:$CV$2</c15:sqref>
                        </c15:formulaRef>
                      </c:ext>
                    </c:extLst>
                    <c:strCache>
                      <c:ptCount val="26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  <c:pt idx="13">
                        <c:v>S43</c:v>
                      </c:pt>
                      <c:pt idx="14">
                        <c:v>S44</c:v>
                      </c:pt>
                      <c:pt idx="15">
                        <c:v>S45</c:v>
                      </c:pt>
                      <c:pt idx="16">
                        <c:v>S46</c:v>
                      </c:pt>
                      <c:pt idx="17">
                        <c:v>S47</c:v>
                      </c:pt>
                      <c:pt idx="18">
                        <c:v>S48</c:v>
                      </c:pt>
                      <c:pt idx="19">
                        <c:v>S49</c:v>
                      </c:pt>
                      <c:pt idx="21">
                        <c:v>LUN</c:v>
                      </c:pt>
                      <c:pt idx="22">
                        <c:v>MAR</c:v>
                      </c:pt>
                      <c:pt idx="23">
                        <c:v>MIE</c:v>
                      </c:pt>
                      <c:pt idx="24">
                        <c:v>JUE</c:v>
                      </c:pt>
                      <c:pt idx="25">
                        <c:v>VIE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0.2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9D60-42DA-B64A-7DBE49EBA82B}"/>
                  </c:ext>
                </c:extLst>
              </c15:ser>
            </c15:filteredBarSeries>
          </c:ext>
        </c:extLst>
      </c:barChart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782343720"/>
        <c:axId val="782343328"/>
        <c:extLst>
          <c:ext xmlns:c15="http://schemas.microsoft.com/office/drawing/2012/chart" uri="{02D57815-91ED-43cb-92C2-25804820EDAC}">
            <c15:filteredBarSeries>
              <c15:ser>
                <c:idx val="7"/>
                <c:order val="7"/>
                <c:tx>
                  <c:v>Trayectoria</c:v>
                </c:tx>
                <c:spPr>
                  <a:noFill/>
                  <a:ln w="22225">
                    <a:solidFill>
                      <a:schemeClr val="tx1"/>
                    </a:solidFill>
                    <a:prstDash val="sysDash"/>
                  </a:ln>
                  <a:effectLst/>
                </c:spPr>
                <c:invertIfNegative val="0"/>
                <c:dLbls>
                  <c:dLbl>
                    <c:idx val="3"/>
                    <c:layout>
                      <c:manualLayout>
                        <c:x val="-1.3909394436840963E-3"/>
                        <c:y val="-0.24768553930758655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1E-9D60-42DA-B64A-7DBE49EBA82B}"/>
                      </c:ext>
                    </c:extLst>
                  </c:dLbl>
                  <c:dLbl>
                    <c:idx val="4"/>
                    <c:layout>
                      <c:manualLayout>
                        <c:x val="0"/>
                        <c:y val="-7.954555680539932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1F-9D60-42DA-B64A-7DBE49EBA82B}"/>
                      </c:ext>
                    </c:extLst>
                  </c:dLbl>
                  <c:dLbl>
                    <c:idx val="6"/>
                    <c:layout>
                      <c:manualLayout>
                        <c:x val="0"/>
                        <c:y val="-2.443281245911837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20-9D60-42DA-B64A-7DBE49EBA82B}"/>
                      </c:ext>
                    </c:extLst>
                  </c:dLbl>
                  <c:dLbl>
                    <c:idx val="7"/>
                    <c:layout>
                      <c:manualLayout>
                        <c:x val="0"/>
                        <c:y val="-6.3525312393707692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21-9D60-42DA-B64A-7DBE49EBA82B}"/>
                      </c:ext>
                    </c:extLst>
                  </c:dLbl>
                  <c:dLbl>
                    <c:idx val="10"/>
                    <c:layout>
                      <c:manualLayout>
                        <c:x val="2.7819171878015339E-3"/>
                        <c:y val="-1.4659687475471085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22-9D60-42DA-B64A-7DBE49EBA82B}"/>
                      </c:ext>
                    </c:extLst>
                  </c:dLbl>
                  <c:dLbl>
                    <c:idx val="11"/>
                    <c:layout>
                      <c:manualLayout>
                        <c:x val="2.781917187801432E-3"/>
                        <c:y val="-1.4659687475470995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23-9D60-42DA-B64A-7DBE49EBA82B}"/>
                      </c:ext>
                    </c:extLst>
                  </c:dLbl>
                  <c:dLbl>
                    <c:idx val="12"/>
                    <c:layout>
                      <c:manualLayout>
                        <c:x val="2.781917187801432E-3"/>
                        <c:y val="1.9546249967294659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24-9D60-42DA-B64A-7DBE49EBA82B}"/>
                      </c:ext>
                    </c:extLst>
                  </c:dLbl>
                  <c:numFmt formatCode="#,##0.0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0">
                      <a:spAutoFit/>
                    </a:bodyPr>
                    <a:lstStyle/>
                    <a:p>
                      <a:pPr algn="ctr">
                        <a:defRPr lang="en-US" sz="1000" b="1" i="1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A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0"/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'STR &amp; SRT + QRW ZONE'!$J$2:$BF$2</c15:sqref>
                        </c15:formulaRef>
                      </c:ext>
                    </c:extLst>
                    <c:strCache>
                      <c:ptCount val="12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0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>
                  <c:ext xmlns:c16="http://schemas.microsoft.com/office/drawing/2014/chart" uri="{C3380CC4-5D6E-409C-BE32-E72D297353CC}">
                    <c16:uniqueId val="{00000025-9D60-42DA-B64A-7DBE49EBA82B}"/>
                  </c:ext>
                </c:extLst>
              </c15:ser>
            </c15:filteredBarSeries>
          </c:ext>
        </c:extLst>
      </c:barChart>
      <c:lineChart>
        <c:grouping val="stacked"/>
        <c:varyColors val="0"/>
        <c:ser>
          <c:idx val="8"/>
          <c:order val="8"/>
          <c:tx>
            <c:strRef>
              <c:f>'STR &amp; SRT + QRW ZONE'!$A$22</c:f>
              <c:strCache>
                <c:ptCount val="1"/>
                <c:pt idx="0">
                  <c:v>TARGET</c:v>
                </c:pt>
              </c:strCache>
            </c:strRef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5B9BD5">
                  <a:lumMod val="50000"/>
                </a:srgbClr>
              </a:solidFill>
              <a:ln w="9525">
                <a:solidFill>
                  <a:srgbClr val="5B9BD5">
                    <a:lumMod val="50000"/>
                  </a:srgbClr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rgbClr val="5B9BD5">
                    <a:lumMod val="50000"/>
                  </a:srgbClr>
                </a:solidFill>
                <a:ln w="9525">
                  <a:solidFill>
                    <a:srgbClr val="5B9BD5">
                      <a:lumMod val="50000"/>
                    </a:srgbClr>
                  </a:solidFill>
                </a:ln>
                <a:effectLst/>
              </c:spPr>
            </c:marker>
            <c:bubble3D val="0"/>
            <c:spPr>
              <a:ln w="25400" cap="rnd">
                <a:solidFill>
                  <a:srgbClr val="5B9BD5">
                    <a:lumMod val="50000"/>
                  </a:srgb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9D60-42DA-B64A-7DBE49EBA82B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D60-42DA-B64A-7DBE49EBA82B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CB0-4E1D-A242-CD84A92E3874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D60-42DA-B64A-7DBE49EBA82B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D60-42DA-B64A-7DBE49EBA82B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D60-42DA-B64A-7DBE49EBA82B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998-4252-8763-BA73C3A68A61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DAC-4ABF-819D-7ABF29793CF1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D60-42DA-B64A-7DBE49EBA82B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D60-42DA-B64A-7DBE49EBA82B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CB0-4E1D-A242-CD84A92E3874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998-4252-8763-BA73C3A68A61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DAC-4ABF-819D-7ABF29793C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5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'STR &amp; SRT + QRW ZONE'!$J$2:$CW$2</c:f>
              <c:strCache>
                <c:ptCount val="28"/>
                <c:pt idx="1">
                  <c:v>ENE</c:v>
                </c:pt>
                <c:pt idx="2">
                  <c:v>FEB</c:v>
                </c:pt>
                <c:pt idx="3">
                  <c:v>MAR</c:v>
                </c:pt>
                <c:pt idx="4">
                  <c:v>ABR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SEPT</c:v>
                </c:pt>
                <c:pt idx="10">
                  <c:v>OCT</c:v>
                </c:pt>
                <c:pt idx="11">
                  <c:v>NOV</c:v>
                </c:pt>
                <c:pt idx="13">
                  <c:v>S43</c:v>
                </c:pt>
                <c:pt idx="14">
                  <c:v>S44</c:v>
                </c:pt>
                <c:pt idx="15">
                  <c:v>S45</c:v>
                </c:pt>
                <c:pt idx="16">
                  <c:v>S46</c:v>
                </c:pt>
                <c:pt idx="17">
                  <c:v>S47</c:v>
                </c:pt>
                <c:pt idx="18">
                  <c:v>S48</c:v>
                </c:pt>
                <c:pt idx="19">
                  <c:v>S49</c:v>
                </c:pt>
                <c:pt idx="21">
                  <c:v>LUN</c:v>
                </c:pt>
                <c:pt idx="22">
                  <c:v>MAR</c:v>
                </c:pt>
                <c:pt idx="23">
                  <c:v>MIE</c:v>
                </c:pt>
                <c:pt idx="24">
                  <c:v>JUE</c:v>
                </c:pt>
                <c:pt idx="25">
                  <c:v>VIE</c:v>
                </c:pt>
                <c:pt idx="27">
                  <c:v>JUN</c:v>
                </c:pt>
              </c:strCache>
            </c:strRef>
          </c:cat>
          <c:val>
            <c:numRef>
              <c:f>'STR &amp; SRT + QRW ZONE'!$P$22:$CV$22</c:f>
              <c:numCache>
                <c:formatCode>0%</c:formatCode>
                <c:ptCount val="2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0.85</c:v>
                </c:pt>
                <c:pt idx="4">
                  <c:v>0.9</c:v>
                </c:pt>
                <c:pt idx="5">
                  <c:v>0.93</c:v>
                </c:pt>
                <c:pt idx="6">
                  <c:v>0.93</c:v>
                </c:pt>
                <c:pt idx="7">
                  <c:v>0.94</c:v>
                </c:pt>
                <c:pt idx="8">
                  <c:v>0.94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0.94</c:v>
                </c:pt>
                <c:pt idx="13">
                  <c:v>0.94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D60-42DA-B64A-7DBE49EBA8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0567640"/>
        <c:axId val="390568032"/>
        <c:extLst/>
      </c:lineChart>
      <c:catAx>
        <c:axId val="390567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390568032"/>
        <c:crosses val="autoZero"/>
        <c:auto val="1"/>
        <c:lblAlgn val="ctr"/>
        <c:lblOffset val="100"/>
        <c:noMultiLvlLbl val="0"/>
      </c:catAx>
      <c:valAx>
        <c:axId val="390568032"/>
        <c:scaling>
          <c:orientation val="minMax"/>
          <c:max val="1"/>
        </c:scaling>
        <c:delete val="0"/>
        <c:axPos val="l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390567640"/>
        <c:crosses val="autoZero"/>
        <c:crossBetween val="between"/>
      </c:valAx>
      <c:valAx>
        <c:axId val="782343328"/>
        <c:scaling>
          <c:orientation val="minMax"/>
          <c:max val="10"/>
        </c:scaling>
        <c:delete val="1"/>
        <c:axPos val="r"/>
        <c:numFmt formatCode="0.00" sourceLinked="1"/>
        <c:majorTickMark val="out"/>
        <c:minorTickMark val="none"/>
        <c:tickLblPos val="nextTo"/>
        <c:crossAx val="782343720"/>
        <c:crosses val="max"/>
        <c:crossBetween val="between"/>
      </c:valAx>
      <c:catAx>
        <c:axId val="782343720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782343328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7830522257742605"/>
          <c:y val="0.8877260796945835"/>
          <c:w val="0.25744489981240964"/>
          <c:h val="0.10959341445955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6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 algn="ctr">
        <a:defRPr lang="en-US" sz="1000" b="1" i="0" u="none" strike="noStrike" kern="1200" baseline="0">
          <a:solidFill>
            <a:sysClr val="windowText" lastClr="000000"/>
          </a:solidFill>
          <a:latin typeface="+mn-lt"/>
          <a:ea typeface="+mn-ea"/>
          <a:cs typeface="+mn-cs"/>
        </a:defRPr>
      </a:pPr>
      <a:endParaRPr lang="es-AR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3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3200"/>
              <a:t>STR VP X67-X52</a:t>
            </a:r>
          </a:p>
        </c:rich>
      </c:tx>
      <c:layout>
        <c:manualLayout>
          <c:xMode val="edge"/>
          <c:yMode val="edge"/>
          <c:x val="0.3166863601564246"/>
          <c:y val="3.030303030303030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32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5.5286943216290511E-2"/>
          <c:y val="0.13441756144118353"/>
          <c:w val="0.9457221422804557"/>
          <c:h val="0.65433620797400338"/>
        </c:manualLayout>
      </c:layout>
      <c:barChart>
        <c:barDir val="col"/>
        <c:grouping val="clustered"/>
        <c:varyColors val="0"/>
        <c:ser>
          <c:idx val="6"/>
          <c:order val="6"/>
          <c:tx>
            <c:strRef>
              <c:f>'STR &amp; SRT + QRW ZONE'!$A$13</c:f>
              <c:strCache>
                <c:ptCount val="1"/>
                <c:pt idx="0">
                  <c:v>STR VP</c:v>
                </c:pt>
              </c:strCache>
            </c:strRef>
          </c:tx>
          <c:spPr>
            <a:gradFill flip="none" rotWithShape="1">
              <a:gsLst>
                <a:gs pos="0">
                  <a:srgbClr val="70AD47">
                    <a:lumMod val="50000"/>
                    <a:shade val="30000"/>
                    <a:satMod val="115000"/>
                  </a:srgbClr>
                </a:gs>
                <a:gs pos="50000">
                  <a:srgbClr val="70AD47">
                    <a:lumMod val="50000"/>
                    <a:shade val="67500"/>
                    <a:satMod val="115000"/>
                  </a:srgbClr>
                </a:gs>
                <a:gs pos="100000">
                  <a:srgbClr val="70AD47">
                    <a:lumMod val="50000"/>
                    <a:shade val="100000"/>
                    <a:satMod val="115000"/>
                  </a:srgbClr>
                </a:gs>
              </a:gsLst>
              <a:lin ang="2700000" scaled="1"/>
              <a:tileRect/>
            </a:gra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A25-484C-A4E4-D22D939D3FE5}"/>
              </c:ext>
            </c:extLst>
          </c:dPt>
          <c:dPt>
            <c:idx val="6"/>
            <c:invertIfNegative val="0"/>
            <c:bubble3D val="0"/>
            <c:spPr>
              <a:solidFill>
                <a:srgbClr val="70AD47">
                  <a:lumMod val="5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A25-484C-A4E4-D22D939D3FE5}"/>
              </c:ext>
            </c:extLst>
          </c:dPt>
          <c:dPt>
            <c:idx val="7"/>
            <c:invertIfNegative val="0"/>
            <c:bubble3D val="0"/>
            <c:spPr>
              <a:solidFill>
                <a:srgbClr val="70AD47">
                  <a:lumMod val="5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A25-484C-A4E4-D22D939D3FE5}"/>
              </c:ext>
            </c:extLst>
          </c:dPt>
          <c:dPt>
            <c:idx val="8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A25-484C-A4E4-D22D939D3FE5}"/>
              </c:ext>
            </c:extLst>
          </c:dPt>
          <c:dPt>
            <c:idx val="9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A25-484C-A4E4-D22D939D3FE5}"/>
              </c:ext>
            </c:extLst>
          </c:dPt>
          <c:dPt>
            <c:idx val="1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A25-484C-A4E4-D22D939D3FE5}"/>
              </c:ext>
            </c:extLst>
          </c:dPt>
          <c:dPt>
            <c:idx val="12"/>
            <c:invertIfNegative val="0"/>
            <c:bubble3D val="0"/>
            <c:spPr>
              <a:solidFill>
                <a:srgbClr val="70AD47">
                  <a:lumMod val="5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A25-484C-A4E4-D22D939D3FE5}"/>
              </c:ext>
            </c:extLst>
          </c:dPt>
          <c:dPt>
            <c:idx val="13"/>
            <c:invertIfNegative val="0"/>
            <c:bubble3D val="0"/>
            <c:spPr>
              <a:solidFill>
                <a:srgbClr val="70AD47">
                  <a:lumMod val="5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6A25-484C-A4E4-D22D939D3FE5}"/>
              </c:ext>
            </c:extLst>
          </c:dPt>
          <c:dPt>
            <c:idx val="14"/>
            <c:invertIfNegative val="0"/>
            <c:bubble3D val="0"/>
            <c:spPr>
              <a:solidFill>
                <a:srgbClr val="70AD47">
                  <a:lumMod val="5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6A25-484C-A4E4-D22D939D3FE5}"/>
              </c:ext>
            </c:extLst>
          </c:dPt>
          <c:dPt>
            <c:idx val="1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6A25-484C-A4E4-D22D939D3FE5}"/>
              </c:ext>
            </c:extLst>
          </c:dPt>
          <c:dPt>
            <c:idx val="1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6A25-484C-A4E4-D22D939D3FE5}"/>
              </c:ext>
            </c:extLst>
          </c:dPt>
          <c:dPt>
            <c:idx val="19"/>
            <c:invertIfNegative val="0"/>
            <c:bubble3D val="0"/>
            <c:spPr>
              <a:solidFill>
                <a:srgbClr val="70AD47">
                  <a:lumMod val="5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6A25-484C-A4E4-D22D939D3FE5}"/>
              </c:ext>
            </c:extLst>
          </c:dPt>
          <c:dPt>
            <c:idx val="20"/>
            <c:invertIfNegative val="0"/>
            <c:bubble3D val="0"/>
            <c:spPr>
              <a:solidFill>
                <a:srgbClr val="70AD47">
                  <a:lumMod val="50000"/>
                </a:srgbClr>
              </a:solidFill>
              <a:ln>
                <a:solidFill>
                  <a:srgbClr val="70AD47">
                    <a:lumMod val="50000"/>
                  </a:srgb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6A25-484C-A4E4-D22D939D3FE5}"/>
              </c:ext>
            </c:extLst>
          </c:dPt>
          <c:dPt>
            <c:idx val="21"/>
            <c:invertIfNegative val="0"/>
            <c:bubble3D val="0"/>
            <c:spPr>
              <a:solidFill>
                <a:srgbClr val="70AD47">
                  <a:lumMod val="5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6A25-484C-A4E4-D22D939D3FE5}"/>
              </c:ext>
            </c:extLst>
          </c:dPt>
          <c:dPt>
            <c:idx val="22"/>
            <c:invertIfNegative val="0"/>
            <c:bubble3D val="0"/>
            <c:spPr>
              <a:solidFill>
                <a:srgbClr val="70AD47">
                  <a:lumMod val="5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6A25-484C-A4E4-D22D939D3FE5}"/>
              </c:ext>
            </c:extLst>
          </c:dPt>
          <c:dPt>
            <c:idx val="23"/>
            <c:invertIfNegative val="0"/>
            <c:bubble3D val="0"/>
            <c:spPr>
              <a:solidFill>
                <a:srgbClr val="70AD47">
                  <a:lumMod val="5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7050-472A-97A6-65A5B3113955}"/>
              </c:ext>
            </c:extLst>
          </c:dPt>
          <c:dPt>
            <c:idx val="24"/>
            <c:invertIfNegative val="0"/>
            <c:bubble3D val="0"/>
            <c:spPr>
              <a:solidFill>
                <a:srgbClr val="70AD47">
                  <a:lumMod val="5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E47C-491A-AFC5-97F64379A206}"/>
              </c:ext>
            </c:extLst>
          </c:dPt>
          <c:dPt>
            <c:idx val="25"/>
            <c:invertIfNegative val="0"/>
            <c:bubble3D val="0"/>
            <c:spPr>
              <a:solidFill>
                <a:srgbClr val="70AD47">
                  <a:lumMod val="5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9153-4C74-8CB2-F6CB2BA39F58}"/>
              </c:ext>
            </c:extLst>
          </c:dPt>
          <c:dLbls>
            <c:dLbl>
              <c:idx val="22"/>
              <c:layout>
                <c:manualLayout>
                  <c:x val="0"/>
                  <c:y val="0.27787247139034588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6A25-484C-A4E4-D22D939D3FE5}"/>
                </c:ext>
              </c:extLst>
            </c:dLbl>
            <c:dLbl>
              <c:idx val="23"/>
              <c:layout>
                <c:manualLayout>
                  <c:x val="1.6293279022403259E-3"/>
                  <c:y val="0.30190773380668628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7050-472A-97A6-65A5B3113955}"/>
                </c:ext>
              </c:extLst>
            </c:dLbl>
            <c:dLbl>
              <c:idx val="24"/>
              <c:layout>
                <c:manualLayout>
                  <c:x val="-1.1948266589033835E-16"/>
                  <c:y val="0.2348895190641614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E47C-491A-AFC5-97F64379A206}"/>
                </c:ext>
              </c:extLst>
            </c:dLbl>
            <c:dLbl>
              <c:idx val="25"/>
              <c:layout>
                <c:manualLayout>
                  <c:x val="-9.7758872643507605E-3"/>
                  <c:y val="0.34775849564338196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9153-4C74-8CB2-F6CB2BA39F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n-US" sz="1800" b="1" i="0" u="none" strike="noStrike" kern="1200" baseline="0">
                    <a:solidFill>
                      <a:schemeClr val="bg1"/>
                    </a:solidFill>
                    <a:effectLst>
                      <a:outerShdw blurRad="50800" dist="114300" dir="8100000" algn="tr" rotWithShape="0">
                        <a:schemeClr val="tx1">
                          <a:alpha val="41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'STR &amp; SRT + QRW ZONE'!$J$2:$CU$2</c:f>
              <c:strCache>
                <c:ptCount val="26"/>
                <c:pt idx="1">
                  <c:v>ENE</c:v>
                </c:pt>
                <c:pt idx="2">
                  <c:v>FEB</c:v>
                </c:pt>
                <c:pt idx="3">
                  <c:v>MAR</c:v>
                </c:pt>
                <c:pt idx="4">
                  <c:v>ABR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SEPT</c:v>
                </c:pt>
                <c:pt idx="10">
                  <c:v>OCT</c:v>
                </c:pt>
                <c:pt idx="11">
                  <c:v>NOV</c:v>
                </c:pt>
                <c:pt idx="13">
                  <c:v>S43</c:v>
                </c:pt>
                <c:pt idx="14">
                  <c:v>S44</c:v>
                </c:pt>
                <c:pt idx="15">
                  <c:v>S45</c:v>
                </c:pt>
                <c:pt idx="16">
                  <c:v>S46</c:v>
                </c:pt>
                <c:pt idx="17">
                  <c:v>S47</c:v>
                </c:pt>
                <c:pt idx="18">
                  <c:v>S48</c:v>
                </c:pt>
                <c:pt idx="19">
                  <c:v>S49</c:v>
                </c:pt>
                <c:pt idx="21">
                  <c:v>LUN</c:v>
                </c:pt>
                <c:pt idx="22">
                  <c:v>MAR</c:v>
                </c:pt>
                <c:pt idx="23">
                  <c:v>MIE</c:v>
                </c:pt>
                <c:pt idx="24">
                  <c:v>JUE</c:v>
                </c:pt>
                <c:pt idx="25">
                  <c:v>VIE</c:v>
                </c:pt>
              </c:strCache>
            </c:strRef>
          </c:cat>
          <c:val>
            <c:numRef>
              <c:f>'STR &amp; SRT + QRW ZONE'!$J$13:$CU$13</c:f>
              <c:numCache>
                <c:formatCode>0%</c:formatCode>
                <c:ptCount val="26"/>
                <c:pt idx="2">
                  <c:v>0.69</c:v>
                </c:pt>
                <c:pt idx="3">
                  <c:v>0.85</c:v>
                </c:pt>
                <c:pt idx="4">
                  <c:v>0.93</c:v>
                </c:pt>
                <c:pt idx="5">
                  <c:v>0.93</c:v>
                </c:pt>
                <c:pt idx="6">
                  <c:v>0.97</c:v>
                </c:pt>
                <c:pt idx="7">
                  <c:v>0.95</c:v>
                </c:pt>
                <c:pt idx="8">
                  <c:v>0.92479999999999996</c:v>
                </c:pt>
                <c:pt idx="9">
                  <c:v>0.92047500000000004</c:v>
                </c:pt>
                <c:pt idx="10">
                  <c:v>0.94399999999999995</c:v>
                </c:pt>
                <c:pt idx="11">
                  <c:v>0.93493333333333339</c:v>
                </c:pt>
                <c:pt idx="13">
                  <c:v>0.96699999999999997</c:v>
                </c:pt>
                <c:pt idx="15">
                  <c:v>0.85</c:v>
                </c:pt>
                <c:pt idx="16">
                  <c:v>0.94</c:v>
                </c:pt>
                <c:pt idx="17">
                  <c:v>0.95</c:v>
                </c:pt>
                <c:pt idx="18">
                  <c:v>0.95799999999999996</c:v>
                </c:pt>
                <c:pt idx="19">
                  <c:v>0.97666666666666657</c:v>
                </c:pt>
                <c:pt idx="21">
                  <c:v>0.97</c:v>
                </c:pt>
                <c:pt idx="22">
                  <c:v>0.97</c:v>
                </c:pt>
                <c:pt idx="23">
                  <c:v>0.99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6A25-484C-A4E4-D22D939D3F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782344112"/>
        <c:axId val="782344504"/>
        <c:extLst>
          <c:ext xmlns:c15="http://schemas.microsoft.com/office/drawing/2012/chart" uri="{02D57815-91ED-43cb-92C2-25804820EDAC}">
            <c15:filteredBarSeries>
              <c15:ser>
                <c:idx val="2"/>
                <c:order val="0"/>
                <c:tx>
                  <c:v>DEPARTAMENTO  CHAPA</c:v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'STR &amp; SRT + QRW ZONE'!$J$2:$CU$2</c15:sqref>
                        </c15:formulaRef>
                      </c:ext>
                    </c:extLst>
                    <c:strCache>
                      <c:ptCount val="26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  <c:pt idx="13">
                        <c:v>S43</c:v>
                      </c:pt>
                      <c:pt idx="14">
                        <c:v>S44</c:v>
                      </c:pt>
                      <c:pt idx="15">
                        <c:v>S45</c:v>
                      </c:pt>
                      <c:pt idx="16">
                        <c:v>S46</c:v>
                      </c:pt>
                      <c:pt idx="17">
                        <c:v>S47</c:v>
                      </c:pt>
                      <c:pt idx="18">
                        <c:v>S48</c:v>
                      </c:pt>
                      <c:pt idx="19">
                        <c:v>S49</c:v>
                      </c:pt>
                      <c:pt idx="21">
                        <c:v>LUN</c:v>
                      </c:pt>
                      <c:pt idx="22">
                        <c:v>MAR</c:v>
                      </c:pt>
                      <c:pt idx="23">
                        <c:v>MIE</c:v>
                      </c:pt>
                      <c:pt idx="24">
                        <c:v>JUE</c:v>
                      </c:pt>
                      <c:pt idx="25">
                        <c:v>VIE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1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>
                  <c:ext xmlns:c16="http://schemas.microsoft.com/office/drawing/2014/chart" uri="{C3380CC4-5D6E-409C-BE32-E72D297353CC}">
                    <c16:uniqueId val="{00000034-6A25-484C-A4E4-D22D939D3FE5}"/>
                  </c:ext>
                </c:extLst>
              </c15:ser>
            </c15:filteredBarSeries>
            <c15:filteredBarSeries>
              <c15:ser>
                <c:idx val="0"/>
                <c:order val="1"/>
                <c:tx>
                  <c:v>DEPARTAMENTO MONTAJE VU</c:v>
                </c:tx>
                <c:spPr>
                  <a:solidFill>
                    <a:schemeClr val="accent1">
                      <a:lumMod val="60000"/>
                      <a:lumOff val="4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numFmt formatCode="#,##0.00;;;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ellipsis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lang="en-US" sz="1200" b="1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A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'STR &amp; SRT + QRW ZONE'!$J$2:$CU$2</c15:sqref>
                        </c15:formulaRef>
                      </c:ext>
                    </c:extLst>
                    <c:strCache>
                      <c:ptCount val="26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  <c:pt idx="13">
                        <c:v>S43</c:v>
                      </c:pt>
                      <c:pt idx="14">
                        <c:v>S44</c:v>
                      </c:pt>
                      <c:pt idx="15">
                        <c:v>S45</c:v>
                      </c:pt>
                      <c:pt idx="16">
                        <c:v>S46</c:v>
                      </c:pt>
                      <c:pt idx="17">
                        <c:v>S47</c:v>
                      </c:pt>
                      <c:pt idx="18">
                        <c:v>S48</c:v>
                      </c:pt>
                      <c:pt idx="19">
                        <c:v>S49</c:v>
                      </c:pt>
                      <c:pt idx="21">
                        <c:v>LUN</c:v>
                      </c:pt>
                      <c:pt idx="22">
                        <c:v>MAR</c:v>
                      </c:pt>
                      <c:pt idx="23">
                        <c:v>MIE</c:v>
                      </c:pt>
                      <c:pt idx="24">
                        <c:v>JUE</c:v>
                      </c:pt>
                      <c:pt idx="25">
                        <c:v>VIE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1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6A25-484C-A4E4-D22D939D3FE5}"/>
                  </c:ext>
                </c:extLst>
              </c15:ser>
            </c15:filteredBarSeries>
            <c15:filteredBarSeries>
              <c15:ser>
                <c:idx val="1"/>
                <c:order val="2"/>
                <c:tx>
                  <c:v>DEPARTAMENTO PINTURA</c:v>
                </c:tx>
                <c:spPr>
                  <a:gradFill>
                    <a:gsLst>
                      <a:gs pos="0">
                        <a:sysClr val="windowText" lastClr="000000">
                          <a:lumMod val="100000"/>
                        </a:sysClr>
                      </a:gs>
                      <a:gs pos="50000">
                        <a:srgbClr val="FF0000">
                          <a:lumMod val="100000"/>
                        </a:srgbClr>
                      </a:gs>
                      <a:gs pos="100000">
                        <a:sysClr val="windowText" lastClr="000000"/>
                      </a:gs>
                    </a:gsLst>
                    <a:lin ang="10800000" scaled="1"/>
                  </a:gradFill>
                  <a:ln>
                    <a:noFill/>
                  </a:ln>
                  <a:effectLst/>
                </c:spPr>
                <c:invertIfNegative val="0"/>
                <c:dPt>
                  <c:idx val="7"/>
                  <c:invertIfNegative val="0"/>
                  <c:bubble3D val="0"/>
                  <c:spPr>
                    <a:gradFill>
                      <a:gsLst>
                        <a:gs pos="0">
                          <a:sysClr val="windowText" lastClr="000000">
                            <a:lumMod val="100000"/>
                          </a:sysClr>
                        </a:gs>
                        <a:gs pos="50000">
                          <a:srgbClr val="FF0000">
                            <a:lumMod val="100000"/>
                          </a:srgbClr>
                        </a:gs>
                        <a:gs pos="100000">
                          <a:sysClr val="windowText" lastClr="000000"/>
                        </a:gs>
                      </a:gsLst>
                      <a:lin ang="10800000" scaled="1"/>
                    </a:gra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7-6A25-484C-A4E4-D22D939D3FE5}"/>
                    </c:ext>
                  </c:extLst>
                </c:dPt>
                <c:dPt>
                  <c:idx val="8"/>
                  <c:invertIfNegative val="0"/>
                  <c:bubble3D val="0"/>
                  <c:spPr>
                    <a:gradFill>
                      <a:gsLst>
                        <a:gs pos="0">
                          <a:sysClr val="windowText" lastClr="000000">
                            <a:lumMod val="100000"/>
                          </a:sysClr>
                        </a:gs>
                        <a:gs pos="50000">
                          <a:srgbClr val="FF0000">
                            <a:lumMod val="100000"/>
                          </a:srgbClr>
                        </a:gs>
                        <a:gs pos="100000">
                          <a:sysClr val="windowText" lastClr="000000"/>
                        </a:gs>
                      </a:gsLst>
                      <a:lin ang="10800000" scaled="1"/>
                    </a:gra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9-6A25-484C-A4E4-D22D939D3FE5}"/>
                    </c:ext>
                  </c:extLst>
                </c:dPt>
                <c:dLbls>
                  <c:numFmt formatCode="#,##0.00;;;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ellipsis" wrap="square" lIns="38100" tIns="19050" rIns="38100" bIns="19050" anchor="ctr" anchorCtr="0">
                      <a:spAutoFit/>
                    </a:bodyPr>
                    <a:lstStyle/>
                    <a:p>
                      <a:pPr algn="ctr">
                        <a:defRPr lang="en-US" sz="1600" b="1" i="0" u="none" strike="noStrike" kern="1200" baseline="0">
                          <a:solidFill>
                            <a:schemeClr val="bg1"/>
                          </a:solidFill>
                          <a:effectLst>
                            <a:glow rad="127000">
                              <a:schemeClr val="tx1"/>
                            </a:glow>
                          </a:effectLst>
                          <a:latin typeface="+mn-lt"/>
                          <a:ea typeface="+mn-ea"/>
                          <a:cs typeface="+mn-cs"/>
                        </a:defRPr>
                      </a:pPr>
                      <a:endParaRPr lang="es-AR"/>
                    </a:p>
                  </c:txPr>
                  <c:dLblPos val="inBase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0"/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'STR &amp; SRT + QRW ZONE'!$J$2:$CU$2</c15:sqref>
                        </c15:formulaRef>
                      </c:ext>
                    </c:extLst>
                    <c:strCache>
                      <c:ptCount val="26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  <c:pt idx="13">
                        <c:v>S43</c:v>
                      </c:pt>
                      <c:pt idx="14">
                        <c:v>S44</c:v>
                      </c:pt>
                      <c:pt idx="15">
                        <c:v>S45</c:v>
                      </c:pt>
                      <c:pt idx="16">
                        <c:v>S46</c:v>
                      </c:pt>
                      <c:pt idx="17">
                        <c:v>S47</c:v>
                      </c:pt>
                      <c:pt idx="18">
                        <c:v>S48</c:v>
                      </c:pt>
                      <c:pt idx="19">
                        <c:v>S49</c:v>
                      </c:pt>
                      <c:pt idx="21">
                        <c:v>LUN</c:v>
                      </c:pt>
                      <c:pt idx="22">
                        <c:v>MAR</c:v>
                      </c:pt>
                      <c:pt idx="23">
                        <c:v>MIE</c:v>
                      </c:pt>
                      <c:pt idx="24">
                        <c:v>JUE</c:v>
                      </c:pt>
                      <c:pt idx="25">
                        <c:v>VIE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0.5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6A25-484C-A4E4-D22D939D3FE5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v>CALIDAD DE PIEZAS</c:v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'STR &amp; SRT + QRW ZONE'!$J$2:$CU$2</c15:sqref>
                        </c15:formulaRef>
                      </c:ext>
                    </c:extLst>
                    <c:strCache>
                      <c:ptCount val="26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  <c:pt idx="13">
                        <c:v>S43</c:v>
                      </c:pt>
                      <c:pt idx="14">
                        <c:v>S44</c:v>
                      </c:pt>
                      <c:pt idx="15">
                        <c:v>S45</c:v>
                      </c:pt>
                      <c:pt idx="16">
                        <c:v>S46</c:v>
                      </c:pt>
                      <c:pt idx="17">
                        <c:v>S47</c:v>
                      </c:pt>
                      <c:pt idx="18">
                        <c:v>S48</c:v>
                      </c:pt>
                      <c:pt idx="19">
                        <c:v>S49</c:v>
                      </c:pt>
                      <c:pt idx="21">
                        <c:v>LUN</c:v>
                      </c:pt>
                      <c:pt idx="22">
                        <c:v>MAR</c:v>
                      </c:pt>
                      <c:pt idx="23">
                        <c:v>MIE</c:v>
                      </c:pt>
                      <c:pt idx="24">
                        <c:v>JUE</c:v>
                      </c:pt>
                      <c:pt idx="25">
                        <c:v>VIE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0.01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6A25-484C-A4E4-D22D939D3FE5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v>DIRECCION ADJUNTA TECNICA</c:v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'STR &amp; SRT + QRW ZONE'!$J$2:$CU$2</c15:sqref>
                        </c15:formulaRef>
                      </c:ext>
                    </c:extLst>
                    <c:strCache>
                      <c:ptCount val="26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  <c:pt idx="13">
                        <c:v>S43</c:v>
                      </c:pt>
                      <c:pt idx="14">
                        <c:v>S44</c:v>
                      </c:pt>
                      <c:pt idx="15">
                        <c:v>S45</c:v>
                      </c:pt>
                      <c:pt idx="16">
                        <c:v>S46</c:v>
                      </c:pt>
                      <c:pt idx="17">
                        <c:v>S47</c:v>
                      </c:pt>
                      <c:pt idx="18">
                        <c:v>S48</c:v>
                      </c:pt>
                      <c:pt idx="19">
                        <c:v>S49</c:v>
                      </c:pt>
                      <c:pt idx="21">
                        <c:v>LUN</c:v>
                      </c:pt>
                      <c:pt idx="22">
                        <c:v>MAR</c:v>
                      </c:pt>
                      <c:pt idx="23">
                        <c:v>MIE</c:v>
                      </c:pt>
                      <c:pt idx="24">
                        <c:v>JUE</c:v>
                      </c:pt>
                      <c:pt idx="25">
                        <c:v>VIE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0.01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6A25-484C-A4E4-D22D939D3FE5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v>DEPARTAMENTO LOGISTICA INDUSTRIAL</c:v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'STR &amp; SRT + QRW ZONE'!$J$2:$CU$2</c15:sqref>
                        </c15:formulaRef>
                      </c:ext>
                    </c:extLst>
                    <c:strCache>
                      <c:ptCount val="26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  <c:pt idx="13">
                        <c:v>S43</c:v>
                      </c:pt>
                      <c:pt idx="14">
                        <c:v>S44</c:v>
                      </c:pt>
                      <c:pt idx="15">
                        <c:v>S45</c:v>
                      </c:pt>
                      <c:pt idx="16">
                        <c:v>S46</c:v>
                      </c:pt>
                      <c:pt idx="17">
                        <c:v>S47</c:v>
                      </c:pt>
                      <c:pt idx="18">
                        <c:v>S48</c:v>
                      </c:pt>
                      <c:pt idx="19">
                        <c:v>S49</c:v>
                      </c:pt>
                      <c:pt idx="21">
                        <c:v>LUN</c:v>
                      </c:pt>
                      <c:pt idx="22">
                        <c:v>MAR</c:v>
                      </c:pt>
                      <c:pt idx="23">
                        <c:v>MIE</c:v>
                      </c:pt>
                      <c:pt idx="24">
                        <c:v>JUE</c:v>
                      </c:pt>
                      <c:pt idx="25">
                        <c:v>VIE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0.2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6A25-484C-A4E4-D22D939D3FE5}"/>
                  </c:ext>
                </c:extLst>
              </c15:ser>
            </c15:filteredBarSeries>
          </c:ext>
        </c:extLst>
      </c:barChart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551211184"/>
        <c:axId val="782344896"/>
        <c:extLst>
          <c:ext xmlns:c15="http://schemas.microsoft.com/office/drawing/2012/chart" uri="{02D57815-91ED-43cb-92C2-25804820EDAC}">
            <c15:filteredBarSeries>
              <c15:ser>
                <c:idx val="7"/>
                <c:order val="7"/>
                <c:tx>
                  <c:v>Trayectoria</c:v>
                </c:tx>
                <c:spPr>
                  <a:noFill/>
                  <a:ln w="22225">
                    <a:solidFill>
                      <a:schemeClr val="tx1"/>
                    </a:solidFill>
                    <a:prstDash val="sysDash"/>
                  </a:ln>
                  <a:effectLst/>
                </c:spPr>
                <c:invertIfNegative val="0"/>
                <c:dLbls>
                  <c:dLbl>
                    <c:idx val="3"/>
                    <c:layout>
                      <c:manualLayout>
                        <c:x val="-1.3909394436840963E-3"/>
                        <c:y val="-0.24768553930758655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3E-6A25-484C-A4E4-D22D939D3FE5}"/>
                      </c:ext>
                    </c:extLst>
                  </c:dLbl>
                  <c:dLbl>
                    <c:idx val="4"/>
                    <c:layout>
                      <c:manualLayout>
                        <c:x val="0"/>
                        <c:y val="-7.954555680539932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3F-6A25-484C-A4E4-D22D939D3FE5}"/>
                      </c:ext>
                    </c:extLst>
                  </c:dLbl>
                  <c:dLbl>
                    <c:idx val="6"/>
                    <c:layout>
                      <c:manualLayout>
                        <c:x val="0"/>
                        <c:y val="-2.443281245911837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40-6A25-484C-A4E4-D22D939D3FE5}"/>
                      </c:ext>
                    </c:extLst>
                  </c:dLbl>
                  <c:dLbl>
                    <c:idx val="7"/>
                    <c:layout>
                      <c:manualLayout>
                        <c:x val="0"/>
                        <c:y val="-6.3525312393707692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41-6A25-484C-A4E4-D22D939D3FE5}"/>
                      </c:ext>
                    </c:extLst>
                  </c:dLbl>
                  <c:dLbl>
                    <c:idx val="10"/>
                    <c:layout>
                      <c:manualLayout>
                        <c:x val="2.7819171878015339E-3"/>
                        <c:y val="-1.4659687475471085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42-6A25-484C-A4E4-D22D939D3FE5}"/>
                      </c:ext>
                    </c:extLst>
                  </c:dLbl>
                  <c:dLbl>
                    <c:idx val="11"/>
                    <c:layout>
                      <c:manualLayout>
                        <c:x val="2.781917187801432E-3"/>
                        <c:y val="-1.4659687475470995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43-6A25-484C-A4E4-D22D939D3FE5}"/>
                      </c:ext>
                    </c:extLst>
                  </c:dLbl>
                  <c:dLbl>
                    <c:idx val="12"/>
                    <c:layout>
                      <c:manualLayout>
                        <c:x val="2.781917187801432E-3"/>
                        <c:y val="1.9546249967294659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44-6A25-484C-A4E4-D22D939D3FE5}"/>
                      </c:ext>
                    </c:extLst>
                  </c:dLbl>
                  <c:numFmt formatCode="#,##0.0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0">
                      <a:spAutoFit/>
                    </a:bodyPr>
                    <a:lstStyle/>
                    <a:p>
                      <a:pPr algn="ctr">
                        <a:defRPr lang="en-US" sz="1000" b="1" i="1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A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0"/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'STR &amp; SRT + QRW ZONE'!$J$2:$BF$2</c15:sqref>
                        </c15:formulaRef>
                      </c:ext>
                    </c:extLst>
                    <c:strCache>
                      <c:ptCount val="12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0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>
                  <c:ext xmlns:c16="http://schemas.microsoft.com/office/drawing/2014/chart" uri="{C3380CC4-5D6E-409C-BE32-E72D297353CC}">
                    <c16:uniqueId val="{00000045-6A25-484C-A4E4-D22D939D3FE5}"/>
                  </c:ext>
                </c:extLst>
              </c15:ser>
            </c15:filteredBarSeries>
          </c:ext>
        </c:extLst>
      </c:barChart>
      <c:lineChart>
        <c:grouping val="stacked"/>
        <c:varyColors val="0"/>
        <c:ser>
          <c:idx val="8"/>
          <c:order val="8"/>
          <c:tx>
            <c:strRef>
              <c:f>'STR &amp; SRT + QRW ZONE'!$A$22</c:f>
              <c:strCache>
                <c:ptCount val="1"/>
                <c:pt idx="0">
                  <c:v>TARGET</c:v>
                </c:pt>
              </c:strCache>
            </c:strRef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5B9BD5">
                  <a:lumMod val="50000"/>
                </a:srgbClr>
              </a:solidFill>
              <a:ln w="9525">
                <a:solidFill>
                  <a:srgbClr val="5B9BD5">
                    <a:lumMod val="50000"/>
                  </a:srgbClr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rgbClr val="5B9BD5">
                    <a:lumMod val="50000"/>
                  </a:srgbClr>
                </a:solidFill>
                <a:ln w="9525">
                  <a:solidFill>
                    <a:srgbClr val="5B9BD5">
                      <a:lumMod val="50000"/>
                    </a:srgbClr>
                  </a:solidFill>
                </a:ln>
                <a:effectLst/>
              </c:spPr>
            </c:marker>
            <c:bubble3D val="0"/>
            <c:spPr>
              <a:ln w="25400" cap="rnd">
                <a:solidFill>
                  <a:srgbClr val="5B9BD5">
                    <a:lumMod val="50000"/>
                  </a:srgb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6-6A25-484C-A4E4-D22D939D3FE5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6A25-484C-A4E4-D22D939D3FE5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6A25-484C-A4E4-D22D939D3FE5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6A25-484C-A4E4-D22D939D3FE5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6A25-484C-A4E4-D22D939D3FE5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6A25-484C-A4E4-D22D939D3FE5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6A25-484C-A4E4-D22D939D3FE5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7050-472A-97A6-65A5B3113955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6A25-484C-A4E4-D22D939D3FE5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6A25-484C-A4E4-D22D939D3FE5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7050-472A-97A6-65A5B3113955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E47C-491A-AFC5-97F64379A206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9153-4C74-8CB2-F6CB2BA39F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5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'STR &amp; SRT + QRW ZONE'!$J$2:$CU$2</c:f>
              <c:strCache>
                <c:ptCount val="26"/>
                <c:pt idx="1">
                  <c:v>ENE</c:v>
                </c:pt>
                <c:pt idx="2">
                  <c:v>FEB</c:v>
                </c:pt>
                <c:pt idx="3">
                  <c:v>MAR</c:v>
                </c:pt>
                <c:pt idx="4">
                  <c:v>ABR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SEPT</c:v>
                </c:pt>
                <c:pt idx="10">
                  <c:v>OCT</c:v>
                </c:pt>
                <c:pt idx="11">
                  <c:v>NOV</c:v>
                </c:pt>
                <c:pt idx="13">
                  <c:v>S43</c:v>
                </c:pt>
                <c:pt idx="14">
                  <c:v>S44</c:v>
                </c:pt>
                <c:pt idx="15">
                  <c:v>S45</c:v>
                </c:pt>
                <c:pt idx="16">
                  <c:v>S46</c:v>
                </c:pt>
                <c:pt idx="17">
                  <c:v>S47</c:v>
                </c:pt>
                <c:pt idx="18">
                  <c:v>S48</c:v>
                </c:pt>
                <c:pt idx="19">
                  <c:v>S49</c:v>
                </c:pt>
                <c:pt idx="21">
                  <c:v>LUN</c:v>
                </c:pt>
                <c:pt idx="22">
                  <c:v>MAR</c:v>
                </c:pt>
                <c:pt idx="23">
                  <c:v>MIE</c:v>
                </c:pt>
                <c:pt idx="24">
                  <c:v>JUE</c:v>
                </c:pt>
                <c:pt idx="25">
                  <c:v>VIE</c:v>
                </c:pt>
              </c:strCache>
            </c:strRef>
          </c:cat>
          <c:val>
            <c:numRef>
              <c:f>'STR &amp; SRT + QRW ZONE'!$P$22:$CU$22</c:f>
              <c:numCache>
                <c:formatCode>0%</c:formatCode>
                <c:ptCount val="25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0.85</c:v>
                </c:pt>
                <c:pt idx="4">
                  <c:v>0.9</c:v>
                </c:pt>
                <c:pt idx="5">
                  <c:v>0.93</c:v>
                </c:pt>
                <c:pt idx="6">
                  <c:v>0.93</c:v>
                </c:pt>
                <c:pt idx="7">
                  <c:v>0.94</c:v>
                </c:pt>
                <c:pt idx="8">
                  <c:v>0.94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0.94</c:v>
                </c:pt>
                <c:pt idx="13">
                  <c:v>0.94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6A25-484C-A4E4-D22D939D3F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2344112"/>
        <c:axId val="782344504"/>
        <c:extLst/>
      </c:lineChart>
      <c:catAx>
        <c:axId val="782344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782344504"/>
        <c:crosses val="autoZero"/>
        <c:auto val="1"/>
        <c:lblAlgn val="ctr"/>
        <c:lblOffset val="100"/>
        <c:noMultiLvlLbl val="0"/>
      </c:catAx>
      <c:valAx>
        <c:axId val="782344504"/>
        <c:scaling>
          <c:orientation val="minMax"/>
          <c:max val="1"/>
        </c:scaling>
        <c:delete val="0"/>
        <c:axPos val="l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782344112"/>
        <c:crosses val="autoZero"/>
        <c:crossBetween val="between"/>
      </c:valAx>
      <c:valAx>
        <c:axId val="782344896"/>
        <c:scaling>
          <c:orientation val="minMax"/>
          <c:max val="10"/>
        </c:scaling>
        <c:delete val="1"/>
        <c:axPos val="r"/>
        <c:numFmt formatCode="0.00" sourceLinked="1"/>
        <c:majorTickMark val="out"/>
        <c:minorTickMark val="none"/>
        <c:tickLblPos val="nextTo"/>
        <c:crossAx val="551211184"/>
        <c:crosses val="max"/>
        <c:crossBetween val="between"/>
      </c:valAx>
      <c:catAx>
        <c:axId val="551211184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782344896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7830522257742605"/>
          <c:y val="0.8877260796945835"/>
          <c:w val="0.25744489981240964"/>
          <c:h val="0.10959341445955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6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 algn="ctr">
        <a:defRPr lang="en-US" sz="1000" b="1" i="0" u="none" strike="noStrike" kern="1200" baseline="0">
          <a:solidFill>
            <a:sysClr val="windowText" lastClr="000000"/>
          </a:solidFill>
          <a:latin typeface="+mn-lt"/>
          <a:ea typeface="+mn-ea"/>
          <a:cs typeface="+mn-cs"/>
        </a:defRPr>
      </a:pPr>
      <a:endParaRPr lang="es-AR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3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3200"/>
              <a:t>STR VP X67-X52</a:t>
            </a:r>
            <a:r>
              <a:rPr lang="en-US" sz="3200" baseline="0"/>
              <a:t> + RTR1</a:t>
            </a:r>
            <a:endParaRPr lang="en-US" sz="3200"/>
          </a:p>
        </c:rich>
      </c:tx>
      <c:layout>
        <c:manualLayout>
          <c:xMode val="edge"/>
          <c:yMode val="edge"/>
          <c:x val="0.3166863601564246"/>
          <c:y val="3.030303030303030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32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5.5286943216290511E-2"/>
          <c:y val="0.13441756144118353"/>
          <c:w val="0.9457221422804557"/>
          <c:h val="0.65433620797400338"/>
        </c:manualLayout>
      </c:layout>
      <c:barChart>
        <c:barDir val="col"/>
        <c:grouping val="clustered"/>
        <c:varyColors val="0"/>
        <c:ser>
          <c:idx val="6"/>
          <c:order val="6"/>
          <c:tx>
            <c:strRef>
              <c:f>'STR &amp; SRT + QRW ZONE'!$A$14</c:f>
              <c:strCache>
                <c:ptCount val="1"/>
                <c:pt idx="0">
                  <c:v>STR(+RTR1)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>
              <a:outerShdw blurRad="50800" dist="38100" dir="2700000" algn="tl" rotWithShape="0">
                <a:sysClr val="windowText" lastClr="000000">
                  <a:alpha val="40000"/>
                </a:sysClr>
              </a:outerShdw>
            </a:effectLst>
          </c:spPr>
          <c:invertIfNegative val="0"/>
          <c:dPt>
            <c:idx val="2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0800" dist="38100" dir="2700000" algn="tl" rotWithShape="0">
                  <a:sysClr val="windowText" lastClr="000000">
                    <a:alpha val="40000"/>
                  </a:sys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9F7-433B-A0B6-7B44CA78F07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n-US" sz="18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'STR &amp; SRT + QRW ZONE'!$J$2:$CU$2</c:f>
              <c:strCache>
                <c:ptCount val="26"/>
                <c:pt idx="1">
                  <c:v>ENE</c:v>
                </c:pt>
                <c:pt idx="2">
                  <c:v>FEB</c:v>
                </c:pt>
                <c:pt idx="3">
                  <c:v>MAR</c:v>
                </c:pt>
                <c:pt idx="4">
                  <c:v>ABR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SEPT</c:v>
                </c:pt>
                <c:pt idx="10">
                  <c:v>OCT</c:v>
                </c:pt>
                <c:pt idx="11">
                  <c:v>NOV</c:v>
                </c:pt>
                <c:pt idx="13">
                  <c:v>S43</c:v>
                </c:pt>
                <c:pt idx="14">
                  <c:v>S44</c:v>
                </c:pt>
                <c:pt idx="15">
                  <c:v>S45</c:v>
                </c:pt>
                <c:pt idx="16">
                  <c:v>S46</c:v>
                </c:pt>
                <c:pt idx="17">
                  <c:v>S47</c:v>
                </c:pt>
                <c:pt idx="18">
                  <c:v>S48</c:v>
                </c:pt>
                <c:pt idx="19">
                  <c:v>S49</c:v>
                </c:pt>
                <c:pt idx="21">
                  <c:v>LUN</c:v>
                </c:pt>
                <c:pt idx="22">
                  <c:v>MAR</c:v>
                </c:pt>
                <c:pt idx="23">
                  <c:v>MIE</c:v>
                </c:pt>
                <c:pt idx="24">
                  <c:v>JUE</c:v>
                </c:pt>
                <c:pt idx="25">
                  <c:v>VIE</c:v>
                </c:pt>
              </c:strCache>
            </c:strRef>
          </c:cat>
          <c:val>
            <c:numRef>
              <c:f>'STR &amp; SRT + QRW ZONE'!$J$14:$CU$14</c:f>
              <c:numCache>
                <c:formatCode>0.00</c:formatCode>
                <c:ptCount val="26"/>
                <c:pt idx="4" formatCode="0%">
                  <c:v>0.53</c:v>
                </c:pt>
                <c:pt idx="5" formatCode="0%">
                  <c:v>0.56999999999999995</c:v>
                </c:pt>
                <c:pt idx="6" formatCode="0%">
                  <c:v>0.41533333333333333</c:v>
                </c:pt>
                <c:pt idx="7" formatCode="0%">
                  <c:v>0.8</c:v>
                </c:pt>
                <c:pt idx="8" formatCode="0%">
                  <c:v>0.55000000000000004</c:v>
                </c:pt>
                <c:pt idx="9" formatCode="0%">
                  <c:v>0.39097499999999996</c:v>
                </c:pt>
                <c:pt idx="10" formatCode="0%">
                  <c:v>0.37309999999999999</c:v>
                </c:pt>
                <c:pt idx="11" formatCode="0%">
                  <c:v>0.85</c:v>
                </c:pt>
                <c:pt idx="13" formatCode="0%">
                  <c:v>0.43580000000000002</c:v>
                </c:pt>
                <c:pt idx="15" formatCode="0%">
                  <c:v>0.85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76-4E6C-A2A7-68EE3FDAAA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551212360"/>
        <c:axId val="551212752"/>
        <c:extLst>
          <c:ext xmlns:c15="http://schemas.microsoft.com/office/drawing/2012/chart" uri="{02D57815-91ED-43cb-92C2-25804820EDAC}">
            <c15:filteredBarSeries>
              <c15:ser>
                <c:idx val="2"/>
                <c:order val="0"/>
                <c:tx>
                  <c:v>DEPARTAMENTO  CHAPA</c:v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'STR &amp; SRT + QRW ZONE'!$J$2:$CU$2</c15:sqref>
                        </c15:formulaRef>
                      </c:ext>
                    </c:extLst>
                    <c:strCache>
                      <c:ptCount val="26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  <c:pt idx="13">
                        <c:v>S43</c:v>
                      </c:pt>
                      <c:pt idx="14">
                        <c:v>S44</c:v>
                      </c:pt>
                      <c:pt idx="15">
                        <c:v>S45</c:v>
                      </c:pt>
                      <c:pt idx="16">
                        <c:v>S46</c:v>
                      </c:pt>
                      <c:pt idx="17">
                        <c:v>S47</c:v>
                      </c:pt>
                      <c:pt idx="18">
                        <c:v>S48</c:v>
                      </c:pt>
                      <c:pt idx="19">
                        <c:v>S49</c:v>
                      </c:pt>
                      <c:pt idx="21">
                        <c:v>LUN</c:v>
                      </c:pt>
                      <c:pt idx="22">
                        <c:v>MAR</c:v>
                      </c:pt>
                      <c:pt idx="23">
                        <c:v>MIE</c:v>
                      </c:pt>
                      <c:pt idx="24">
                        <c:v>JUE</c:v>
                      </c:pt>
                      <c:pt idx="25">
                        <c:v>VIE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1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>
                  <c:ext xmlns:c16="http://schemas.microsoft.com/office/drawing/2014/chart" uri="{C3380CC4-5D6E-409C-BE32-E72D297353CC}">
                    <c16:uniqueId val="{00000012-D876-4E6C-A2A7-68EE3FDAAAFC}"/>
                  </c:ext>
                </c:extLst>
              </c15:ser>
            </c15:filteredBarSeries>
            <c15:filteredBarSeries>
              <c15:ser>
                <c:idx val="0"/>
                <c:order val="1"/>
                <c:tx>
                  <c:v>DEPARTAMENTO MONTAJE VU</c:v>
                </c:tx>
                <c:spPr>
                  <a:solidFill>
                    <a:schemeClr val="accent1">
                      <a:lumMod val="60000"/>
                      <a:lumOff val="4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numFmt formatCode="#,##0.00;;;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ellipsis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lang="en-US" sz="1200" b="1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A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'STR &amp; SRT + QRW ZONE'!$J$2:$CU$2</c15:sqref>
                        </c15:formulaRef>
                      </c:ext>
                    </c:extLst>
                    <c:strCache>
                      <c:ptCount val="26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  <c:pt idx="13">
                        <c:v>S43</c:v>
                      </c:pt>
                      <c:pt idx="14">
                        <c:v>S44</c:v>
                      </c:pt>
                      <c:pt idx="15">
                        <c:v>S45</c:v>
                      </c:pt>
                      <c:pt idx="16">
                        <c:v>S46</c:v>
                      </c:pt>
                      <c:pt idx="17">
                        <c:v>S47</c:v>
                      </c:pt>
                      <c:pt idx="18">
                        <c:v>S48</c:v>
                      </c:pt>
                      <c:pt idx="19">
                        <c:v>S49</c:v>
                      </c:pt>
                      <c:pt idx="21">
                        <c:v>LUN</c:v>
                      </c:pt>
                      <c:pt idx="22">
                        <c:v>MAR</c:v>
                      </c:pt>
                      <c:pt idx="23">
                        <c:v>MIE</c:v>
                      </c:pt>
                      <c:pt idx="24">
                        <c:v>JUE</c:v>
                      </c:pt>
                      <c:pt idx="25">
                        <c:v>VIE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1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D876-4E6C-A2A7-68EE3FDAAAFC}"/>
                  </c:ext>
                </c:extLst>
              </c15:ser>
            </c15:filteredBarSeries>
            <c15:filteredBarSeries>
              <c15:ser>
                <c:idx val="1"/>
                <c:order val="2"/>
                <c:tx>
                  <c:v>DEPARTAMENTO PINTURA</c:v>
                </c:tx>
                <c:spPr>
                  <a:gradFill>
                    <a:gsLst>
                      <a:gs pos="0">
                        <a:sysClr val="windowText" lastClr="000000">
                          <a:lumMod val="100000"/>
                        </a:sysClr>
                      </a:gs>
                      <a:gs pos="50000">
                        <a:srgbClr val="FF0000">
                          <a:lumMod val="100000"/>
                        </a:srgbClr>
                      </a:gs>
                      <a:gs pos="100000">
                        <a:sysClr val="windowText" lastClr="000000"/>
                      </a:gs>
                    </a:gsLst>
                    <a:lin ang="10800000" scaled="1"/>
                  </a:gradFill>
                  <a:ln>
                    <a:noFill/>
                  </a:ln>
                  <a:effectLst/>
                </c:spPr>
                <c:invertIfNegative val="0"/>
                <c:dPt>
                  <c:idx val="7"/>
                  <c:invertIfNegative val="0"/>
                  <c:bubble3D val="0"/>
                  <c:spPr>
                    <a:gradFill>
                      <a:gsLst>
                        <a:gs pos="0">
                          <a:sysClr val="windowText" lastClr="000000">
                            <a:lumMod val="100000"/>
                          </a:sysClr>
                        </a:gs>
                        <a:gs pos="50000">
                          <a:srgbClr val="FF0000">
                            <a:lumMod val="100000"/>
                          </a:srgbClr>
                        </a:gs>
                        <a:gs pos="100000">
                          <a:sysClr val="windowText" lastClr="000000"/>
                        </a:gs>
                      </a:gsLst>
                      <a:lin ang="10800000" scaled="1"/>
                    </a:gra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5-D876-4E6C-A2A7-68EE3FDAAAFC}"/>
                    </c:ext>
                  </c:extLst>
                </c:dPt>
                <c:dPt>
                  <c:idx val="8"/>
                  <c:invertIfNegative val="0"/>
                  <c:bubble3D val="0"/>
                  <c:spPr>
                    <a:gradFill>
                      <a:gsLst>
                        <a:gs pos="0">
                          <a:sysClr val="windowText" lastClr="000000">
                            <a:lumMod val="100000"/>
                          </a:sysClr>
                        </a:gs>
                        <a:gs pos="50000">
                          <a:srgbClr val="FF0000">
                            <a:lumMod val="100000"/>
                          </a:srgbClr>
                        </a:gs>
                        <a:gs pos="100000">
                          <a:sysClr val="windowText" lastClr="000000"/>
                        </a:gs>
                      </a:gsLst>
                      <a:lin ang="10800000" scaled="1"/>
                    </a:gra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7-D876-4E6C-A2A7-68EE3FDAAAFC}"/>
                    </c:ext>
                  </c:extLst>
                </c:dPt>
                <c:dLbls>
                  <c:numFmt formatCode="#,##0.00;;;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ellipsis" wrap="square" lIns="38100" tIns="19050" rIns="38100" bIns="19050" anchor="ctr" anchorCtr="0">
                      <a:spAutoFit/>
                    </a:bodyPr>
                    <a:lstStyle/>
                    <a:p>
                      <a:pPr algn="ctr">
                        <a:defRPr lang="en-US" sz="1600" b="1" i="0" u="none" strike="noStrike" kern="1200" baseline="0">
                          <a:solidFill>
                            <a:schemeClr val="bg1"/>
                          </a:solidFill>
                          <a:effectLst>
                            <a:glow rad="127000">
                              <a:schemeClr val="tx1"/>
                            </a:glow>
                          </a:effectLst>
                          <a:latin typeface="+mn-lt"/>
                          <a:ea typeface="+mn-ea"/>
                          <a:cs typeface="+mn-cs"/>
                        </a:defRPr>
                      </a:pPr>
                      <a:endParaRPr lang="es-AR"/>
                    </a:p>
                  </c:txPr>
                  <c:dLblPos val="inBase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0"/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'STR &amp; SRT + QRW ZONE'!$J$2:$CU$2</c15:sqref>
                        </c15:formulaRef>
                      </c:ext>
                    </c:extLst>
                    <c:strCache>
                      <c:ptCount val="26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  <c:pt idx="13">
                        <c:v>S43</c:v>
                      </c:pt>
                      <c:pt idx="14">
                        <c:v>S44</c:v>
                      </c:pt>
                      <c:pt idx="15">
                        <c:v>S45</c:v>
                      </c:pt>
                      <c:pt idx="16">
                        <c:v>S46</c:v>
                      </c:pt>
                      <c:pt idx="17">
                        <c:v>S47</c:v>
                      </c:pt>
                      <c:pt idx="18">
                        <c:v>S48</c:v>
                      </c:pt>
                      <c:pt idx="19">
                        <c:v>S49</c:v>
                      </c:pt>
                      <c:pt idx="21">
                        <c:v>LUN</c:v>
                      </c:pt>
                      <c:pt idx="22">
                        <c:v>MAR</c:v>
                      </c:pt>
                      <c:pt idx="23">
                        <c:v>MIE</c:v>
                      </c:pt>
                      <c:pt idx="24">
                        <c:v>JUE</c:v>
                      </c:pt>
                      <c:pt idx="25">
                        <c:v>VIE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0.5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876-4E6C-A2A7-68EE3FDAAAFC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v>CALIDAD DE PIEZAS</c:v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'STR &amp; SRT + QRW ZONE'!$J$2:$CU$2</c15:sqref>
                        </c15:formulaRef>
                      </c:ext>
                    </c:extLst>
                    <c:strCache>
                      <c:ptCount val="26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  <c:pt idx="13">
                        <c:v>S43</c:v>
                      </c:pt>
                      <c:pt idx="14">
                        <c:v>S44</c:v>
                      </c:pt>
                      <c:pt idx="15">
                        <c:v>S45</c:v>
                      </c:pt>
                      <c:pt idx="16">
                        <c:v>S46</c:v>
                      </c:pt>
                      <c:pt idx="17">
                        <c:v>S47</c:v>
                      </c:pt>
                      <c:pt idx="18">
                        <c:v>S48</c:v>
                      </c:pt>
                      <c:pt idx="19">
                        <c:v>S49</c:v>
                      </c:pt>
                      <c:pt idx="21">
                        <c:v>LUN</c:v>
                      </c:pt>
                      <c:pt idx="22">
                        <c:v>MAR</c:v>
                      </c:pt>
                      <c:pt idx="23">
                        <c:v>MIE</c:v>
                      </c:pt>
                      <c:pt idx="24">
                        <c:v>JUE</c:v>
                      </c:pt>
                      <c:pt idx="25">
                        <c:v>VIE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0.01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876-4E6C-A2A7-68EE3FDAAAFC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v>DIRECCION ADJUNTA TECNICA</c:v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'STR &amp; SRT + QRW ZONE'!$J$2:$CU$2</c15:sqref>
                        </c15:formulaRef>
                      </c:ext>
                    </c:extLst>
                    <c:strCache>
                      <c:ptCount val="26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  <c:pt idx="13">
                        <c:v>S43</c:v>
                      </c:pt>
                      <c:pt idx="14">
                        <c:v>S44</c:v>
                      </c:pt>
                      <c:pt idx="15">
                        <c:v>S45</c:v>
                      </c:pt>
                      <c:pt idx="16">
                        <c:v>S46</c:v>
                      </c:pt>
                      <c:pt idx="17">
                        <c:v>S47</c:v>
                      </c:pt>
                      <c:pt idx="18">
                        <c:v>S48</c:v>
                      </c:pt>
                      <c:pt idx="19">
                        <c:v>S49</c:v>
                      </c:pt>
                      <c:pt idx="21">
                        <c:v>LUN</c:v>
                      </c:pt>
                      <c:pt idx="22">
                        <c:v>MAR</c:v>
                      </c:pt>
                      <c:pt idx="23">
                        <c:v>MIE</c:v>
                      </c:pt>
                      <c:pt idx="24">
                        <c:v>JUE</c:v>
                      </c:pt>
                      <c:pt idx="25">
                        <c:v>VIE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0.01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876-4E6C-A2A7-68EE3FDAAAFC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v>DEPARTAMENTO LOGISTICA INDUSTRIAL</c:v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'STR &amp; SRT + QRW ZONE'!$J$2:$CU$2</c15:sqref>
                        </c15:formulaRef>
                      </c:ext>
                    </c:extLst>
                    <c:strCache>
                      <c:ptCount val="26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  <c:pt idx="13">
                        <c:v>S43</c:v>
                      </c:pt>
                      <c:pt idx="14">
                        <c:v>S44</c:v>
                      </c:pt>
                      <c:pt idx="15">
                        <c:v>S45</c:v>
                      </c:pt>
                      <c:pt idx="16">
                        <c:v>S46</c:v>
                      </c:pt>
                      <c:pt idx="17">
                        <c:v>S47</c:v>
                      </c:pt>
                      <c:pt idx="18">
                        <c:v>S48</c:v>
                      </c:pt>
                      <c:pt idx="19">
                        <c:v>S49</c:v>
                      </c:pt>
                      <c:pt idx="21">
                        <c:v>LUN</c:v>
                      </c:pt>
                      <c:pt idx="22">
                        <c:v>MAR</c:v>
                      </c:pt>
                      <c:pt idx="23">
                        <c:v>MIE</c:v>
                      </c:pt>
                      <c:pt idx="24">
                        <c:v>JUE</c:v>
                      </c:pt>
                      <c:pt idx="25">
                        <c:v>VIE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0.2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876-4E6C-A2A7-68EE3FDAAAFC}"/>
                  </c:ext>
                </c:extLst>
              </c15:ser>
            </c15:filteredBarSeries>
          </c:ext>
        </c:extLst>
      </c:barChart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565448880"/>
        <c:axId val="565448488"/>
        <c:extLst>
          <c:ext xmlns:c15="http://schemas.microsoft.com/office/drawing/2012/chart" uri="{02D57815-91ED-43cb-92C2-25804820EDAC}">
            <c15:filteredBarSeries>
              <c15:ser>
                <c:idx val="7"/>
                <c:order val="7"/>
                <c:tx>
                  <c:v>Trayectoria</c:v>
                </c:tx>
                <c:spPr>
                  <a:noFill/>
                  <a:ln w="22225">
                    <a:solidFill>
                      <a:schemeClr val="tx1"/>
                    </a:solidFill>
                    <a:prstDash val="sysDash"/>
                  </a:ln>
                  <a:effectLst/>
                </c:spPr>
                <c:invertIfNegative val="0"/>
                <c:dLbls>
                  <c:dLbl>
                    <c:idx val="3"/>
                    <c:layout>
                      <c:manualLayout>
                        <c:x val="-1.3909394436840963E-3"/>
                        <c:y val="-0.24768553930758655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1C-D876-4E6C-A2A7-68EE3FDAAAFC}"/>
                      </c:ext>
                    </c:extLst>
                  </c:dLbl>
                  <c:dLbl>
                    <c:idx val="4"/>
                    <c:layout>
                      <c:manualLayout>
                        <c:x val="0"/>
                        <c:y val="-7.954555680539932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1D-D876-4E6C-A2A7-68EE3FDAAAFC}"/>
                      </c:ext>
                    </c:extLst>
                  </c:dLbl>
                  <c:dLbl>
                    <c:idx val="6"/>
                    <c:layout>
                      <c:manualLayout>
                        <c:x val="0"/>
                        <c:y val="-2.443281245911837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1E-D876-4E6C-A2A7-68EE3FDAAAFC}"/>
                      </c:ext>
                    </c:extLst>
                  </c:dLbl>
                  <c:dLbl>
                    <c:idx val="7"/>
                    <c:layout>
                      <c:manualLayout>
                        <c:x val="0"/>
                        <c:y val="-6.3525312393707692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1F-D876-4E6C-A2A7-68EE3FDAAAFC}"/>
                      </c:ext>
                    </c:extLst>
                  </c:dLbl>
                  <c:dLbl>
                    <c:idx val="10"/>
                    <c:layout>
                      <c:manualLayout>
                        <c:x val="2.7819171878015339E-3"/>
                        <c:y val="-1.4659687475471085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20-D876-4E6C-A2A7-68EE3FDAAAFC}"/>
                      </c:ext>
                    </c:extLst>
                  </c:dLbl>
                  <c:dLbl>
                    <c:idx val="11"/>
                    <c:layout>
                      <c:manualLayout>
                        <c:x val="2.781917187801432E-3"/>
                        <c:y val="-1.4659687475470995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21-D876-4E6C-A2A7-68EE3FDAAAFC}"/>
                      </c:ext>
                    </c:extLst>
                  </c:dLbl>
                  <c:dLbl>
                    <c:idx val="12"/>
                    <c:layout>
                      <c:manualLayout>
                        <c:x val="2.781917187801432E-3"/>
                        <c:y val="1.9546249967294659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22-D876-4E6C-A2A7-68EE3FDAAAFC}"/>
                      </c:ext>
                    </c:extLst>
                  </c:dLbl>
                  <c:numFmt formatCode="#,##0.0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0">
                      <a:spAutoFit/>
                    </a:bodyPr>
                    <a:lstStyle/>
                    <a:p>
                      <a:pPr algn="ctr">
                        <a:defRPr lang="en-US" sz="1000" b="1" i="1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A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0"/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'STR &amp; SRT + QRW ZONE'!$J$2:$BF$2</c15:sqref>
                        </c15:formulaRef>
                      </c:ext>
                    </c:extLst>
                    <c:strCache>
                      <c:ptCount val="12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0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>
                  <c:ext xmlns:c16="http://schemas.microsoft.com/office/drawing/2014/chart" uri="{C3380CC4-5D6E-409C-BE32-E72D297353CC}">
                    <c16:uniqueId val="{00000023-D876-4E6C-A2A7-68EE3FDAAAFC}"/>
                  </c:ext>
                </c:extLst>
              </c15:ser>
            </c15:filteredBarSeries>
          </c:ext>
        </c:extLst>
      </c:barChart>
      <c:lineChart>
        <c:grouping val="stacked"/>
        <c:varyColors val="0"/>
        <c:ser>
          <c:idx val="8"/>
          <c:order val="8"/>
          <c:tx>
            <c:strRef>
              <c:f>'STR &amp; SRT + QRW ZONE'!$A$22</c:f>
              <c:strCache>
                <c:ptCount val="1"/>
                <c:pt idx="0">
                  <c:v>TARGET</c:v>
                </c:pt>
              </c:strCache>
            </c:strRef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5B9BD5">
                  <a:lumMod val="50000"/>
                </a:srgbClr>
              </a:solidFill>
              <a:ln w="9525">
                <a:solidFill>
                  <a:srgbClr val="5B9BD5">
                    <a:lumMod val="50000"/>
                  </a:srgbClr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rgbClr val="5B9BD5">
                    <a:lumMod val="50000"/>
                  </a:srgbClr>
                </a:solidFill>
                <a:ln w="9525">
                  <a:solidFill>
                    <a:srgbClr val="5B9BD5">
                      <a:lumMod val="50000"/>
                    </a:srgbClr>
                  </a:solidFill>
                </a:ln>
                <a:effectLst/>
              </c:spPr>
            </c:marker>
            <c:bubble3D val="0"/>
            <c:spPr>
              <a:ln w="25400" cap="rnd">
                <a:solidFill>
                  <a:srgbClr val="5B9BD5">
                    <a:lumMod val="50000"/>
                  </a:srgb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D876-4E6C-A2A7-68EE3FDAAAFC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876-4E6C-A2A7-68EE3FDAAAFC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76-4E6C-A2A7-68EE3FDAAAFC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76-4E6C-A2A7-68EE3FDAAAFC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876-4E6C-A2A7-68EE3FDAAAFC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76-4E6C-A2A7-68EE3FDAAAFC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76-4E6C-A2A7-68EE3FDAAAFC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E90-4201-8F31-94F4F51DE39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876-4E6C-A2A7-68EE3FDAAAFC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D876-4E6C-A2A7-68EE3FDAAAFC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E90-4201-8F31-94F4F51DE39F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3DB-43A5-9965-A72DCB05D603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9F7-433B-A0B6-7B44CA78F0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5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'STR &amp; SRT + QRW ZONE'!$J$2:$CU$2</c:f>
              <c:strCache>
                <c:ptCount val="26"/>
                <c:pt idx="1">
                  <c:v>ENE</c:v>
                </c:pt>
                <c:pt idx="2">
                  <c:v>FEB</c:v>
                </c:pt>
                <c:pt idx="3">
                  <c:v>MAR</c:v>
                </c:pt>
                <c:pt idx="4">
                  <c:v>ABR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SEPT</c:v>
                </c:pt>
                <c:pt idx="10">
                  <c:v>OCT</c:v>
                </c:pt>
                <c:pt idx="11">
                  <c:v>NOV</c:v>
                </c:pt>
                <c:pt idx="13">
                  <c:v>S43</c:v>
                </c:pt>
                <c:pt idx="14">
                  <c:v>S44</c:v>
                </c:pt>
                <c:pt idx="15">
                  <c:v>S45</c:v>
                </c:pt>
                <c:pt idx="16">
                  <c:v>S46</c:v>
                </c:pt>
                <c:pt idx="17">
                  <c:v>S47</c:v>
                </c:pt>
                <c:pt idx="18">
                  <c:v>S48</c:v>
                </c:pt>
                <c:pt idx="19">
                  <c:v>S49</c:v>
                </c:pt>
                <c:pt idx="21">
                  <c:v>LUN</c:v>
                </c:pt>
                <c:pt idx="22">
                  <c:v>MAR</c:v>
                </c:pt>
                <c:pt idx="23">
                  <c:v>MIE</c:v>
                </c:pt>
                <c:pt idx="24">
                  <c:v>JUE</c:v>
                </c:pt>
                <c:pt idx="25">
                  <c:v>VIE</c:v>
                </c:pt>
              </c:strCache>
            </c:strRef>
          </c:cat>
          <c:val>
            <c:numRef>
              <c:f>'STR &amp; SRT + QRW ZONE'!$P$22:$CU$22</c:f>
              <c:numCache>
                <c:formatCode>0%</c:formatCode>
                <c:ptCount val="25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0.85</c:v>
                </c:pt>
                <c:pt idx="4">
                  <c:v>0.9</c:v>
                </c:pt>
                <c:pt idx="5">
                  <c:v>0.93</c:v>
                </c:pt>
                <c:pt idx="6">
                  <c:v>0.93</c:v>
                </c:pt>
                <c:pt idx="7">
                  <c:v>0.94</c:v>
                </c:pt>
                <c:pt idx="8">
                  <c:v>0.94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0.94</c:v>
                </c:pt>
                <c:pt idx="13">
                  <c:v>0.94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876-4E6C-A2A7-68EE3FDAAA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1212360"/>
        <c:axId val="551212752"/>
        <c:extLst/>
      </c:lineChart>
      <c:catAx>
        <c:axId val="551212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51212752"/>
        <c:crosses val="autoZero"/>
        <c:auto val="1"/>
        <c:lblAlgn val="ctr"/>
        <c:lblOffset val="100"/>
        <c:noMultiLvlLbl val="0"/>
      </c:catAx>
      <c:valAx>
        <c:axId val="551212752"/>
        <c:scaling>
          <c:orientation val="minMax"/>
          <c:max val="1"/>
        </c:scaling>
        <c:delete val="0"/>
        <c:axPos val="l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51212360"/>
        <c:crosses val="autoZero"/>
        <c:crossBetween val="between"/>
      </c:valAx>
      <c:valAx>
        <c:axId val="565448488"/>
        <c:scaling>
          <c:orientation val="minMax"/>
          <c:max val="10"/>
        </c:scaling>
        <c:delete val="1"/>
        <c:axPos val="r"/>
        <c:numFmt formatCode="0.00" sourceLinked="1"/>
        <c:majorTickMark val="out"/>
        <c:minorTickMark val="none"/>
        <c:tickLblPos val="nextTo"/>
        <c:crossAx val="565448880"/>
        <c:crosses val="max"/>
        <c:crossBetween val="between"/>
      </c:valAx>
      <c:catAx>
        <c:axId val="565448880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565448488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7830522257742605"/>
          <c:y val="0.8877260796945835"/>
          <c:w val="0.25744489981240964"/>
          <c:h val="0.10959341445955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6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 algn="ctr">
        <a:defRPr lang="en-US" sz="1000" b="1" i="0" u="none" strike="noStrike" kern="1200" baseline="0">
          <a:solidFill>
            <a:sysClr val="windowText" lastClr="000000"/>
          </a:solidFill>
          <a:latin typeface="+mn-lt"/>
          <a:ea typeface="+mn-ea"/>
          <a:cs typeface="+mn-cs"/>
        </a:defRPr>
      </a:pPr>
      <a:endParaRPr lang="es-AR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008869738289665E-2"/>
          <c:y val="0"/>
          <c:w val="0.87157279821676925"/>
          <c:h val="1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577-48DF-8618-2B0A4B6E6BE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577-48DF-8618-2B0A4B6E6BE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577-48DF-8618-2B0A4B6E6BE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577-48DF-8618-2B0A4B6E6BE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577-48DF-8618-2B0A4B6E6BE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577-48DF-8618-2B0A4B6E6BE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577-48DF-8618-2B0A4B6E6BE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'STR &amp; SRT + QRW ZONE'!$DH$24:$DH$30</c:f>
              <c:strCache>
                <c:ptCount val="7"/>
                <c:pt idx="0">
                  <c:v>VU</c:v>
                </c:pt>
                <c:pt idx="1">
                  <c:v>DCHAP</c:v>
                </c:pt>
                <c:pt idx="2">
                  <c:v>DPINT</c:v>
                </c:pt>
                <c:pt idx="3">
                  <c:v>MONTVU</c:v>
                </c:pt>
                <c:pt idx="4">
                  <c:v>SQF</c:v>
                </c:pt>
                <c:pt idx="5">
                  <c:v>DLI</c:v>
                </c:pt>
                <c:pt idx="6">
                  <c:v>DAT</c:v>
                </c:pt>
              </c:strCache>
            </c:strRef>
          </c:cat>
          <c:val>
            <c:numRef>
              <c:f>'STR &amp; SRT + QRW ZONE'!$DI$24:$DI$30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577-48DF-8618-2B0A4B6E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670254157928738E-2"/>
          <c:y val="5.5071627975530731E-2"/>
          <c:w val="0.80265949168414252"/>
          <c:h val="0.88985674404893855"/>
        </c:manualLayout>
      </c:layout>
      <c:pieChart>
        <c:varyColors val="1"/>
        <c:ser>
          <c:idx val="0"/>
          <c:order val="0"/>
          <c:tx>
            <c:strRef>
              <c:f>'STR &amp; SRT + QRW ZONE'!$DI$55</c:f>
              <c:strCache>
                <c:ptCount val="1"/>
                <c:pt idx="0">
                  <c:v>CANT DEF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8C3-4A52-82F0-3FC134038A7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8C3-4A52-82F0-3FC134038A7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8C3-4A52-82F0-3FC134038A7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8C3-4A52-82F0-3FC134038A7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8C3-4A52-82F0-3FC134038A7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8C3-4A52-82F0-3FC134038A7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'STR &amp; SRT + QRW ZONE'!$DH$56:$DH$61</c:f>
              <c:strCache>
                <c:ptCount val="6"/>
                <c:pt idx="0">
                  <c:v>DCHAP</c:v>
                </c:pt>
                <c:pt idx="1">
                  <c:v>DPINT</c:v>
                </c:pt>
                <c:pt idx="2">
                  <c:v>DMONT</c:v>
                </c:pt>
                <c:pt idx="3">
                  <c:v>SQF</c:v>
                </c:pt>
                <c:pt idx="4">
                  <c:v>DLI</c:v>
                </c:pt>
                <c:pt idx="5">
                  <c:v>DAT</c:v>
                </c:pt>
              </c:strCache>
            </c:strRef>
          </c:cat>
          <c:val>
            <c:numRef>
              <c:f>'STR &amp; SRT + QRW ZONE'!$DI$56:$DI$61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8C3-4A52-82F0-3FC134038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STR VU XND</a:t>
            </a:r>
          </a:p>
        </c:rich>
      </c:tx>
      <c:layout>
        <c:manualLayout>
          <c:xMode val="edge"/>
          <c:yMode val="edge"/>
          <c:x val="0.4173574340498219"/>
          <c:y val="3.0304024496937885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5.5286943216290511E-2"/>
          <c:y val="0.21775080198308544"/>
          <c:w val="0.9457221422804557"/>
          <c:h val="0.55292395742198897"/>
        </c:manualLayout>
      </c:layout>
      <c:barChart>
        <c:barDir val="col"/>
        <c:grouping val="clustered"/>
        <c:varyColors val="0"/>
        <c:ser>
          <c:idx val="6"/>
          <c:order val="6"/>
          <c:tx>
            <c:strRef>
              <c:f>'STR &amp; SRT + QRW ZONE'!$A$8</c:f>
              <c:strCache>
                <c:ptCount val="1"/>
                <c:pt idx="0">
                  <c:v>STR VU</c:v>
                </c:pt>
              </c:strCache>
            </c:strRef>
          </c:tx>
          <c:spPr>
            <a:gradFill>
              <a:gsLst>
                <a:gs pos="0">
                  <a:sysClr val="windowText" lastClr="000000"/>
                </a:gs>
                <a:gs pos="50000">
                  <a:srgbClr val="70AD47">
                    <a:lumMod val="75000"/>
                  </a:srgbClr>
                </a:gs>
                <a:gs pos="100000">
                  <a:sysClr val="windowText" lastClr="000000"/>
                </a:gs>
              </a:gsLst>
              <a:lin ang="0" scaled="0"/>
            </a:gra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gradFill>
                <a:gsLst>
                  <a:gs pos="0">
                    <a:sysClr val="windowText" lastClr="000000"/>
                  </a:gs>
                  <a:gs pos="50000">
                    <a:srgbClr val="FF0000"/>
                  </a:gs>
                  <a:gs pos="100000">
                    <a:sysClr val="windowText" lastClr="000000"/>
                  </a:gs>
                </a:gsLst>
                <a:lin ang="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00E-4865-BD37-A8BBC7167222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0">
                    <a:sysClr val="windowText" lastClr="000000"/>
                  </a:gs>
                  <a:gs pos="50000">
                    <a:srgbClr val="70AD47">
                      <a:lumMod val="75000"/>
                    </a:srgbClr>
                  </a:gs>
                  <a:gs pos="100000">
                    <a:sysClr val="windowText" lastClr="000000"/>
                  </a:gs>
                </a:gsLst>
                <a:lin ang="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00E-4865-BD37-A8BBC7167222}"/>
              </c:ext>
            </c:extLst>
          </c:dPt>
          <c:dPt>
            <c:idx val="5"/>
            <c:invertIfNegative val="0"/>
            <c:bubble3D val="0"/>
            <c:spPr>
              <a:gradFill>
                <a:gsLst>
                  <a:gs pos="0">
                    <a:sysClr val="windowText" lastClr="000000"/>
                  </a:gs>
                  <a:gs pos="50000">
                    <a:srgbClr val="70AD47">
                      <a:lumMod val="75000"/>
                    </a:srgbClr>
                  </a:gs>
                  <a:gs pos="100000">
                    <a:sysClr val="windowText" lastClr="000000"/>
                  </a:gs>
                </a:gsLst>
                <a:lin ang="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00E-4865-BD37-A8BBC7167222}"/>
              </c:ext>
            </c:extLst>
          </c:dPt>
          <c:dPt>
            <c:idx val="6"/>
            <c:invertIfNegative val="0"/>
            <c:bubble3D val="0"/>
            <c:spPr>
              <a:solidFill>
                <a:srgbClr val="70AD47">
                  <a:lumMod val="5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00E-4865-BD37-A8BBC7167222}"/>
              </c:ext>
            </c:extLst>
          </c:dPt>
          <c:dPt>
            <c:idx val="7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00E-4865-BD37-A8BBC7167222}"/>
              </c:ext>
            </c:extLst>
          </c:dPt>
          <c:dPt>
            <c:idx val="8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00E-4865-BD37-A8BBC7167222}"/>
              </c:ext>
            </c:extLst>
          </c:dPt>
          <c:dPt>
            <c:idx val="1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00E-4865-BD37-A8BBC7167222}"/>
              </c:ext>
            </c:extLst>
          </c:dPt>
          <c:dPt>
            <c:idx val="1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300E-4865-BD37-A8BBC7167222}"/>
              </c:ext>
            </c:extLst>
          </c:dPt>
          <c:dPt>
            <c:idx val="1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300E-4865-BD37-A8BBC7167222}"/>
              </c:ext>
            </c:extLst>
          </c:dPt>
          <c:dPt>
            <c:idx val="1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300E-4865-BD37-A8BBC7167222}"/>
              </c:ext>
            </c:extLst>
          </c:dPt>
          <c:dPt>
            <c:idx val="1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25FB-4DAC-A992-EA65803A05DF}"/>
              </c:ext>
            </c:extLst>
          </c:dPt>
          <c:dPt>
            <c:idx val="2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300E-4865-BD37-A8BBC7167222}"/>
              </c:ext>
            </c:extLst>
          </c:dPt>
          <c:dPt>
            <c:idx val="2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300E-4865-BD37-A8BBC7167222}"/>
              </c:ext>
            </c:extLst>
          </c:dPt>
          <c:dPt>
            <c:idx val="2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25FB-4DAC-A992-EA65803A05DF}"/>
              </c:ext>
            </c:extLst>
          </c:dPt>
          <c:dPt>
            <c:idx val="2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9EF6-4EBC-A901-4C0A0BE68A11}"/>
              </c:ext>
            </c:extLst>
          </c:dPt>
          <c:dPt>
            <c:idx val="2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5DD9-4411-98CE-76F6CEFE5D3C}"/>
              </c:ext>
            </c:extLst>
          </c:dPt>
          <c:dLbls>
            <c:dLbl>
              <c:idx val="2"/>
              <c:layout>
                <c:manualLayout>
                  <c:x val="1.6260162601625867E-3"/>
                  <c:y val="0.34336649964209015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300E-4865-BD37-A8BBC7167222}"/>
                </c:ext>
              </c:extLst>
            </c:dLbl>
            <c:dLbl>
              <c:idx val="3"/>
              <c:layout>
                <c:manualLayout>
                  <c:x val="0"/>
                  <c:y val="0.35680219518014789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00E-4865-BD37-A8BBC7167222}"/>
                </c:ext>
              </c:extLst>
            </c:dLbl>
            <c:dLbl>
              <c:idx val="4"/>
              <c:layout>
                <c:manualLayout>
                  <c:x val="-2.9809953735851693E-17"/>
                  <c:y val="0.36048103078024329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00E-4865-BD37-A8BBC7167222}"/>
                </c:ext>
              </c:extLst>
            </c:dLbl>
            <c:dLbl>
              <c:idx val="5"/>
              <c:layout>
                <c:manualLayout>
                  <c:x val="1.6631973956412272E-3"/>
                  <c:y val="0.28969439346397491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00E-4865-BD37-A8BBC7167222}"/>
                </c:ext>
              </c:extLst>
            </c:dLbl>
            <c:dLbl>
              <c:idx val="6"/>
              <c:layout>
                <c:manualLayout>
                  <c:x val="-3.0020687332617028E-5"/>
                  <c:y val="0.24145473921023031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00E-4865-BD37-A8BBC7167222}"/>
                </c:ext>
              </c:extLst>
            </c:dLbl>
            <c:dLbl>
              <c:idx val="7"/>
              <c:layout>
                <c:manualLayout>
                  <c:x val="1.6293279022402661E-3"/>
                  <c:y val="0.3148933751702089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00E-4865-BD37-A8BBC7167222}"/>
                </c:ext>
              </c:extLst>
            </c:dLbl>
            <c:dLbl>
              <c:idx val="8"/>
              <c:layout>
                <c:manualLayout>
                  <c:x val="-4.887983706720978E-3"/>
                  <c:y val="0.2703697827245277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00E-4865-BD37-A8BBC7167222}"/>
                </c:ext>
              </c:extLst>
            </c:dLbl>
            <c:dLbl>
              <c:idx val="12"/>
              <c:layout>
                <c:manualLayout>
                  <c:x val="-1.6393347980179843E-3"/>
                  <c:y val="0.12696939198389676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00E-4865-BD37-A8BBC7167222}"/>
                </c:ext>
              </c:extLst>
            </c:dLbl>
            <c:dLbl>
              <c:idx val="13"/>
              <c:layout>
                <c:manualLayout>
                  <c:x val="-1.5954584088394247E-3"/>
                  <c:y val="0.260717068261204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00E-4865-BD37-A8BBC7167222}"/>
                </c:ext>
              </c:extLst>
            </c:dLbl>
            <c:dLbl>
              <c:idx val="14"/>
              <c:layout>
                <c:manualLayout>
                  <c:x val="0"/>
                  <c:y val="0.18914238351784968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00E-4865-BD37-A8BBC7167222}"/>
                </c:ext>
              </c:extLst>
            </c:dLbl>
            <c:dLbl>
              <c:idx val="15"/>
              <c:layout>
                <c:manualLayout>
                  <c:x val="0"/>
                  <c:y val="0.14318631223728609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300E-4865-BD37-A8BBC7167222}"/>
                </c:ext>
              </c:extLst>
            </c:dLbl>
            <c:dLbl>
              <c:idx val="16"/>
              <c:layout>
                <c:manualLayout>
                  <c:x val="0"/>
                  <c:y val="0.13355917352436206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25FB-4DAC-A992-EA65803A05DF}"/>
                </c:ext>
              </c:extLst>
            </c:dLbl>
            <c:dLbl>
              <c:idx val="20"/>
              <c:layout>
                <c:manualLayout>
                  <c:x val="-1.6259922703144795E-3"/>
                  <c:y val="0.2152542774258480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300E-4865-BD37-A8BBC7167222}"/>
                </c:ext>
              </c:extLst>
            </c:dLbl>
            <c:dLbl>
              <c:idx val="21"/>
              <c:layout>
                <c:manualLayout>
                  <c:x val="-3.3264033264033266E-3"/>
                  <c:y val="0.23989674974838671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300E-4865-BD37-A8BBC7167222}"/>
                </c:ext>
              </c:extLst>
            </c:dLbl>
            <c:dLbl>
              <c:idx val="22"/>
              <c:layout>
                <c:manualLayout>
                  <c:x val="3.2520325203253225E-3"/>
                  <c:y val="0.2392689095681221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25FB-4DAC-A992-EA65803A05DF}"/>
                </c:ext>
              </c:extLst>
            </c:dLbl>
            <c:dLbl>
              <c:idx val="23"/>
              <c:layout>
                <c:manualLayout>
                  <c:x val="-3.3187040144572093E-3"/>
                  <c:y val="0.23926895980107746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9EF6-4EBC-A901-4C0A0BE68A11}"/>
                </c:ext>
              </c:extLst>
            </c:dLbl>
            <c:dLbl>
              <c:idx val="24"/>
              <c:layout>
                <c:manualLayout>
                  <c:x val="-1.1443783376377071E-4"/>
                  <c:y val="0.2407618258244034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5DD9-4411-98CE-76F6CEFE5D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800" b="1" i="0" u="none" strike="noStrike" kern="1200" baseline="0">
                    <a:solidFill>
                      <a:sysClr val="window" lastClr="FFFFFF"/>
                    </a:solidFill>
                    <a:effectLst>
                      <a:glow rad="127000">
                        <a:sysClr val="windowText" lastClr="000000"/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'STR &amp; SRT + QRW ZONE'!$J$2:$CU$2</c:f>
              <c:strCache>
                <c:ptCount val="26"/>
                <c:pt idx="1">
                  <c:v>ENE</c:v>
                </c:pt>
                <c:pt idx="2">
                  <c:v>FEB</c:v>
                </c:pt>
                <c:pt idx="3">
                  <c:v>MAR</c:v>
                </c:pt>
                <c:pt idx="4">
                  <c:v>ABR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SEPT</c:v>
                </c:pt>
                <c:pt idx="10">
                  <c:v>OCT</c:v>
                </c:pt>
                <c:pt idx="11">
                  <c:v>NOV</c:v>
                </c:pt>
                <c:pt idx="13">
                  <c:v>S43</c:v>
                </c:pt>
                <c:pt idx="14">
                  <c:v>S44</c:v>
                </c:pt>
                <c:pt idx="15">
                  <c:v>S45</c:v>
                </c:pt>
                <c:pt idx="16">
                  <c:v>S46</c:v>
                </c:pt>
                <c:pt idx="17">
                  <c:v>S47</c:v>
                </c:pt>
                <c:pt idx="18">
                  <c:v>S48</c:v>
                </c:pt>
                <c:pt idx="19">
                  <c:v>S49</c:v>
                </c:pt>
                <c:pt idx="21">
                  <c:v>LUN</c:v>
                </c:pt>
                <c:pt idx="22">
                  <c:v>MAR</c:v>
                </c:pt>
                <c:pt idx="23">
                  <c:v>MIE</c:v>
                </c:pt>
                <c:pt idx="24">
                  <c:v>JUE</c:v>
                </c:pt>
                <c:pt idx="25">
                  <c:v>VIE</c:v>
                </c:pt>
              </c:strCache>
            </c:strRef>
          </c:cat>
          <c:val>
            <c:numRef>
              <c:f>'STR &amp; SRT + QRW ZONE'!$J$8:$CU$8</c:f>
              <c:numCache>
                <c:formatCode>0%</c:formatCode>
                <c:ptCount val="26"/>
                <c:pt idx="2">
                  <c:v>0.71</c:v>
                </c:pt>
                <c:pt idx="3">
                  <c:v>0.8</c:v>
                </c:pt>
                <c:pt idx="4">
                  <c:v>0.92</c:v>
                </c:pt>
                <c:pt idx="5">
                  <c:v>0.95</c:v>
                </c:pt>
                <c:pt idx="6">
                  <c:v>0.96</c:v>
                </c:pt>
                <c:pt idx="7">
                  <c:v>0.78</c:v>
                </c:pt>
                <c:pt idx="8">
                  <c:v>0.74</c:v>
                </c:pt>
                <c:pt idx="9">
                  <c:v>0.79689999999999994</c:v>
                </c:pt>
                <c:pt idx="10">
                  <c:v>0.82</c:v>
                </c:pt>
                <c:pt idx="11">
                  <c:v>0.69986666666666664</c:v>
                </c:pt>
                <c:pt idx="13">
                  <c:v>0.82499999999999996</c:v>
                </c:pt>
                <c:pt idx="14">
                  <c:v>0.8226</c:v>
                </c:pt>
                <c:pt idx="15">
                  <c:v>0.63</c:v>
                </c:pt>
                <c:pt idx="16">
                  <c:v>0.41</c:v>
                </c:pt>
                <c:pt idx="17">
                  <c:v>0.7</c:v>
                </c:pt>
                <c:pt idx="18">
                  <c:v>0.876</c:v>
                </c:pt>
                <c:pt idx="19">
                  <c:v>0.8833333333333333</c:v>
                </c:pt>
                <c:pt idx="21">
                  <c:v>0.87</c:v>
                </c:pt>
                <c:pt idx="22">
                  <c:v>0.88</c:v>
                </c:pt>
                <c:pt idx="23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300E-4865-BD37-A8BBC7167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919812840"/>
        <c:axId val="919813232"/>
        <c:extLst>
          <c:ext xmlns:c15="http://schemas.microsoft.com/office/drawing/2012/chart" uri="{02D57815-91ED-43cb-92C2-25804820EDAC}">
            <c15:filteredBarSeries>
              <c15:ser>
                <c:idx val="2"/>
                <c:order val="0"/>
                <c:tx>
                  <c:v>DEPARTAMENTO  CHAPA</c:v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'STR &amp; SRT + QRW ZONE'!$J$2:$CU$2</c15:sqref>
                        </c15:formulaRef>
                      </c:ext>
                    </c:extLst>
                    <c:strCache>
                      <c:ptCount val="26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  <c:pt idx="13">
                        <c:v>S43</c:v>
                      </c:pt>
                      <c:pt idx="14">
                        <c:v>S44</c:v>
                      </c:pt>
                      <c:pt idx="15">
                        <c:v>S45</c:v>
                      </c:pt>
                      <c:pt idx="16">
                        <c:v>S46</c:v>
                      </c:pt>
                      <c:pt idx="17">
                        <c:v>S47</c:v>
                      </c:pt>
                      <c:pt idx="18">
                        <c:v>S48</c:v>
                      </c:pt>
                      <c:pt idx="19">
                        <c:v>S49</c:v>
                      </c:pt>
                      <c:pt idx="21">
                        <c:v>LUN</c:v>
                      </c:pt>
                      <c:pt idx="22">
                        <c:v>MAR</c:v>
                      </c:pt>
                      <c:pt idx="23">
                        <c:v>MIE</c:v>
                      </c:pt>
                      <c:pt idx="24">
                        <c:v>JUE</c:v>
                      </c:pt>
                      <c:pt idx="25">
                        <c:v>VIE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1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>
                  <c:ext xmlns:c16="http://schemas.microsoft.com/office/drawing/2014/chart" uri="{C3380CC4-5D6E-409C-BE32-E72D297353CC}">
                    <c16:uniqueId val="{00000030-300E-4865-BD37-A8BBC7167222}"/>
                  </c:ext>
                </c:extLst>
              </c15:ser>
            </c15:filteredBarSeries>
            <c15:filteredBarSeries>
              <c15:ser>
                <c:idx val="0"/>
                <c:order val="1"/>
                <c:tx>
                  <c:v>DEPARTAMENTO MONTAJE VU</c:v>
                </c:tx>
                <c:spPr>
                  <a:solidFill>
                    <a:schemeClr val="accent1">
                      <a:lumMod val="60000"/>
                      <a:lumOff val="4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numFmt formatCode="#,##0.00;;;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ellipsis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lang="en-US" sz="1200" b="1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A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'STR &amp; SRT + QRW ZONE'!$J$2:$CU$2</c15:sqref>
                        </c15:formulaRef>
                      </c:ext>
                    </c:extLst>
                    <c:strCache>
                      <c:ptCount val="26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  <c:pt idx="13">
                        <c:v>S43</c:v>
                      </c:pt>
                      <c:pt idx="14">
                        <c:v>S44</c:v>
                      </c:pt>
                      <c:pt idx="15">
                        <c:v>S45</c:v>
                      </c:pt>
                      <c:pt idx="16">
                        <c:v>S46</c:v>
                      </c:pt>
                      <c:pt idx="17">
                        <c:v>S47</c:v>
                      </c:pt>
                      <c:pt idx="18">
                        <c:v>S48</c:v>
                      </c:pt>
                      <c:pt idx="19">
                        <c:v>S49</c:v>
                      </c:pt>
                      <c:pt idx="21">
                        <c:v>LUN</c:v>
                      </c:pt>
                      <c:pt idx="22">
                        <c:v>MAR</c:v>
                      </c:pt>
                      <c:pt idx="23">
                        <c:v>MIE</c:v>
                      </c:pt>
                      <c:pt idx="24">
                        <c:v>JUE</c:v>
                      </c:pt>
                      <c:pt idx="25">
                        <c:v>VIE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1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300E-4865-BD37-A8BBC7167222}"/>
                  </c:ext>
                </c:extLst>
              </c15:ser>
            </c15:filteredBarSeries>
            <c15:filteredBarSeries>
              <c15:ser>
                <c:idx val="1"/>
                <c:order val="2"/>
                <c:tx>
                  <c:v>DEPARTAMENTO PINTURA</c:v>
                </c:tx>
                <c:spPr>
                  <a:gradFill>
                    <a:gsLst>
                      <a:gs pos="0">
                        <a:sysClr val="windowText" lastClr="000000">
                          <a:lumMod val="100000"/>
                        </a:sysClr>
                      </a:gs>
                      <a:gs pos="50000">
                        <a:srgbClr val="FF0000">
                          <a:lumMod val="100000"/>
                        </a:srgbClr>
                      </a:gs>
                      <a:gs pos="100000">
                        <a:sysClr val="windowText" lastClr="000000"/>
                      </a:gs>
                    </a:gsLst>
                    <a:lin ang="10800000" scaled="1"/>
                  </a:gradFill>
                  <a:ln>
                    <a:noFill/>
                  </a:ln>
                  <a:effectLst/>
                </c:spPr>
                <c:invertIfNegative val="0"/>
                <c:dPt>
                  <c:idx val="7"/>
                  <c:invertIfNegative val="0"/>
                  <c:bubble3D val="0"/>
                  <c:spPr>
                    <a:gradFill>
                      <a:gsLst>
                        <a:gs pos="0">
                          <a:sysClr val="windowText" lastClr="000000">
                            <a:lumMod val="100000"/>
                          </a:sysClr>
                        </a:gs>
                        <a:gs pos="50000">
                          <a:srgbClr val="FF0000">
                            <a:lumMod val="100000"/>
                          </a:srgbClr>
                        </a:gs>
                        <a:gs pos="100000">
                          <a:sysClr val="windowText" lastClr="000000"/>
                        </a:gs>
                      </a:gsLst>
                      <a:lin ang="10800000" scaled="1"/>
                    </a:gra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3-300E-4865-BD37-A8BBC7167222}"/>
                    </c:ext>
                  </c:extLst>
                </c:dPt>
                <c:dPt>
                  <c:idx val="8"/>
                  <c:invertIfNegative val="0"/>
                  <c:bubble3D val="0"/>
                  <c:spPr>
                    <a:gradFill>
                      <a:gsLst>
                        <a:gs pos="0">
                          <a:sysClr val="windowText" lastClr="000000">
                            <a:lumMod val="100000"/>
                          </a:sysClr>
                        </a:gs>
                        <a:gs pos="50000">
                          <a:srgbClr val="FF0000">
                            <a:lumMod val="100000"/>
                          </a:srgbClr>
                        </a:gs>
                        <a:gs pos="100000">
                          <a:sysClr val="windowText" lastClr="000000"/>
                        </a:gs>
                      </a:gsLst>
                      <a:lin ang="10800000" scaled="1"/>
                    </a:gra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5-300E-4865-BD37-A8BBC7167222}"/>
                    </c:ext>
                  </c:extLst>
                </c:dPt>
                <c:dLbls>
                  <c:numFmt formatCode="#,##0.00;;;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ellipsis" wrap="square" lIns="38100" tIns="19050" rIns="38100" bIns="19050" anchor="ctr" anchorCtr="0">
                      <a:spAutoFit/>
                    </a:bodyPr>
                    <a:lstStyle/>
                    <a:p>
                      <a:pPr algn="ctr">
                        <a:defRPr lang="en-US" sz="1600" b="1" i="0" u="none" strike="noStrike" kern="1200" baseline="0">
                          <a:solidFill>
                            <a:schemeClr val="bg1"/>
                          </a:solidFill>
                          <a:effectLst>
                            <a:glow rad="127000">
                              <a:schemeClr val="tx1"/>
                            </a:glow>
                          </a:effectLst>
                          <a:latin typeface="+mn-lt"/>
                          <a:ea typeface="+mn-ea"/>
                          <a:cs typeface="+mn-cs"/>
                        </a:defRPr>
                      </a:pPr>
                      <a:endParaRPr lang="es-AR"/>
                    </a:p>
                  </c:txPr>
                  <c:dLblPos val="inBase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0"/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'STR &amp; SRT + QRW ZONE'!$J$2:$CU$2</c15:sqref>
                        </c15:formulaRef>
                      </c:ext>
                    </c:extLst>
                    <c:strCache>
                      <c:ptCount val="26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  <c:pt idx="13">
                        <c:v>S43</c:v>
                      </c:pt>
                      <c:pt idx="14">
                        <c:v>S44</c:v>
                      </c:pt>
                      <c:pt idx="15">
                        <c:v>S45</c:v>
                      </c:pt>
                      <c:pt idx="16">
                        <c:v>S46</c:v>
                      </c:pt>
                      <c:pt idx="17">
                        <c:v>S47</c:v>
                      </c:pt>
                      <c:pt idx="18">
                        <c:v>S48</c:v>
                      </c:pt>
                      <c:pt idx="19">
                        <c:v>S49</c:v>
                      </c:pt>
                      <c:pt idx="21">
                        <c:v>LUN</c:v>
                      </c:pt>
                      <c:pt idx="22">
                        <c:v>MAR</c:v>
                      </c:pt>
                      <c:pt idx="23">
                        <c:v>MIE</c:v>
                      </c:pt>
                      <c:pt idx="24">
                        <c:v>JUE</c:v>
                      </c:pt>
                      <c:pt idx="25">
                        <c:v>VIE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0.5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300E-4865-BD37-A8BBC7167222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v>CALIDAD DE PIEZAS</c:v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'STR &amp; SRT + QRW ZONE'!$J$2:$CU$2</c15:sqref>
                        </c15:formulaRef>
                      </c:ext>
                    </c:extLst>
                    <c:strCache>
                      <c:ptCount val="26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  <c:pt idx="13">
                        <c:v>S43</c:v>
                      </c:pt>
                      <c:pt idx="14">
                        <c:v>S44</c:v>
                      </c:pt>
                      <c:pt idx="15">
                        <c:v>S45</c:v>
                      </c:pt>
                      <c:pt idx="16">
                        <c:v>S46</c:v>
                      </c:pt>
                      <c:pt idx="17">
                        <c:v>S47</c:v>
                      </c:pt>
                      <c:pt idx="18">
                        <c:v>S48</c:v>
                      </c:pt>
                      <c:pt idx="19">
                        <c:v>S49</c:v>
                      </c:pt>
                      <c:pt idx="21">
                        <c:v>LUN</c:v>
                      </c:pt>
                      <c:pt idx="22">
                        <c:v>MAR</c:v>
                      </c:pt>
                      <c:pt idx="23">
                        <c:v>MIE</c:v>
                      </c:pt>
                      <c:pt idx="24">
                        <c:v>JUE</c:v>
                      </c:pt>
                      <c:pt idx="25">
                        <c:v>VIE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0.01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300E-4865-BD37-A8BBC7167222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v>DIRECCION ADJUNTA TECNICA</c:v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'STR &amp; SRT + QRW ZONE'!$J$2:$CU$2</c15:sqref>
                        </c15:formulaRef>
                      </c:ext>
                    </c:extLst>
                    <c:strCache>
                      <c:ptCount val="26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  <c:pt idx="13">
                        <c:v>S43</c:v>
                      </c:pt>
                      <c:pt idx="14">
                        <c:v>S44</c:v>
                      </c:pt>
                      <c:pt idx="15">
                        <c:v>S45</c:v>
                      </c:pt>
                      <c:pt idx="16">
                        <c:v>S46</c:v>
                      </c:pt>
                      <c:pt idx="17">
                        <c:v>S47</c:v>
                      </c:pt>
                      <c:pt idx="18">
                        <c:v>S48</c:v>
                      </c:pt>
                      <c:pt idx="19">
                        <c:v>S49</c:v>
                      </c:pt>
                      <c:pt idx="21">
                        <c:v>LUN</c:v>
                      </c:pt>
                      <c:pt idx="22">
                        <c:v>MAR</c:v>
                      </c:pt>
                      <c:pt idx="23">
                        <c:v>MIE</c:v>
                      </c:pt>
                      <c:pt idx="24">
                        <c:v>JUE</c:v>
                      </c:pt>
                      <c:pt idx="25">
                        <c:v>VIE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0.01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300E-4865-BD37-A8BBC7167222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v>DEPARTAMENTO LOGISTICA INDUSTRIAL</c:v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'STR &amp; SRT + QRW ZONE'!$J$2:$CU$2</c15:sqref>
                        </c15:formulaRef>
                      </c:ext>
                    </c:extLst>
                    <c:strCache>
                      <c:ptCount val="26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  <c:pt idx="13">
                        <c:v>S43</c:v>
                      </c:pt>
                      <c:pt idx="14">
                        <c:v>S44</c:v>
                      </c:pt>
                      <c:pt idx="15">
                        <c:v>S45</c:v>
                      </c:pt>
                      <c:pt idx="16">
                        <c:v>S46</c:v>
                      </c:pt>
                      <c:pt idx="17">
                        <c:v>S47</c:v>
                      </c:pt>
                      <c:pt idx="18">
                        <c:v>S48</c:v>
                      </c:pt>
                      <c:pt idx="19">
                        <c:v>S49</c:v>
                      </c:pt>
                      <c:pt idx="21">
                        <c:v>LUN</c:v>
                      </c:pt>
                      <c:pt idx="22">
                        <c:v>MAR</c:v>
                      </c:pt>
                      <c:pt idx="23">
                        <c:v>MIE</c:v>
                      </c:pt>
                      <c:pt idx="24">
                        <c:v>JUE</c:v>
                      </c:pt>
                      <c:pt idx="25">
                        <c:v>VIE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0.2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300E-4865-BD37-A8BBC7167222}"/>
                  </c:ext>
                </c:extLst>
              </c15:ser>
            </c15:filteredBarSeries>
          </c:ext>
        </c:extLst>
      </c:barChart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919814016"/>
        <c:axId val="919813624"/>
        <c:extLst>
          <c:ext xmlns:c15="http://schemas.microsoft.com/office/drawing/2012/chart" uri="{02D57815-91ED-43cb-92C2-25804820EDAC}">
            <c15:filteredBarSeries>
              <c15:ser>
                <c:idx val="7"/>
                <c:order val="7"/>
                <c:tx>
                  <c:v>Trayectoria</c:v>
                </c:tx>
                <c:spPr>
                  <a:noFill/>
                  <a:ln w="22225">
                    <a:solidFill>
                      <a:schemeClr val="tx1"/>
                    </a:solidFill>
                    <a:prstDash val="sysDash"/>
                  </a:ln>
                  <a:effectLst/>
                </c:spPr>
                <c:invertIfNegative val="0"/>
                <c:dLbls>
                  <c:dLbl>
                    <c:idx val="3"/>
                    <c:layout>
                      <c:manualLayout>
                        <c:x val="-1.3909394436840963E-3"/>
                        <c:y val="-0.24768553930758655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3A-300E-4865-BD37-A8BBC7167222}"/>
                      </c:ext>
                    </c:extLst>
                  </c:dLbl>
                  <c:dLbl>
                    <c:idx val="4"/>
                    <c:layout>
                      <c:manualLayout>
                        <c:x val="0"/>
                        <c:y val="-7.954555680539932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3B-300E-4865-BD37-A8BBC7167222}"/>
                      </c:ext>
                    </c:extLst>
                  </c:dLbl>
                  <c:dLbl>
                    <c:idx val="6"/>
                    <c:layout>
                      <c:manualLayout>
                        <c:x val="0"/>
                        <c:y val="-2.443281245911837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3C-300E-4865-BD37-A8BBC7167222}"/>
                      </c:ext>
                    </c:extLst>
                  </c:dLbl>
                  <c:dLbl>
                    <c:idx val="7"/>
                    <c:layout>
                      <c:manualLayout>
                        <c:x val="0"/>
                        <c:y val="-6.3525312393707692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3D-300E-4865-BD37-A8BBC7167222}"/>
                      </c:ext>
                    </c:extLst>
                  </c:dLbl>
                  <c:dLbl>
                    <c:idx val="10"/>
                    <c:layout>
                      <c:manualLayout>
                        <c:x val="2.7819171878015339E-3"/>
                        <c:y val="-1.4659687475471085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3E-300E-4865-BD37-A8BBC7167222}"/>
                      </c:ext>
                    </c:extLst>
                  </c:dLbl>
                  <c:dLbl>
                    <c:idx val="11"/>
                    <c:layout>
                      <c:manualLayout>
                        <c:x val="2.781917187801432E-3"/>
                        <c:y val="-1.4659687475470995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3F-300E-4865-BD37-A8BBC7167222}"/>
                      </c:ext>
                    </c:extLst>
                  </c:dLbl>
                  <c:dLbl>
                    <c:idx val="12"/>
                    <c:layout>
                      <c:manualLayout>
                        <c:x val="2.781917187801432E-3"/>
                        <c:y val="1.9546249967294659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40-300E-4865-BD37-A8BBC7167222}"/>
                      </c:ext>
                    </c:extLst>
                  </c:dLbl>
                  <c:numFmt formatCode="#,##0.0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0">
                      <a:spAutoFit/>
                    </a:bodyPr>
                    <a:lstStyle/>
                    <a:p>
                      <a:pPr algn="ctr">
                        <a:defRPr lang="en-US" sz="1000" b="1" i="1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A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0"/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'STR &amp; SRT + QRW ZONE'!$J$2:$BF$2</c15:sqref>
                        </c15:formulaRef>
                      </c:ext>
                    </c:extLst>
                    <c:strCache>
                      <c:ptCount val="12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0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>
                  <c:ext xmlns:c16="http://schemas.microsoft.com/office/drawing/2014/chart" uri="{C3380CC4-5D6E-409C-BE32-E72D297353CC}">
                    <c16:uniqueId val="{00000041-300E-4865-BD37-A8BBC7167222}"/>
                  </c:ext>
                </c:extLst>
              </c15:ser>
            </c15:filteredBarSeries>
          </c:ext>
        </c:extLst>
      </c:barChart>
      <c:lineChart>
        <c:grouping val="stacked"/>
        <c:varyColors val="0"/>
        <c:ser>
          <c:idx val="8"/>
          <c:order val="8"/>
          <c:tx>
            <c:strRef>
              <c:f>'STR &amp; SRT + QRW ZONE'!$A$22</c:f>
              <c:strCache>
                <c:ptCount val="1"/>
                <c:pt idx="0">
                  <c:v>TARGET</c:v>
                </c:pt>
              </c:strCache>
            </c:strRef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5B9BD5">
                  <a:lumMod val="50000"/>
                </a:srgbClr>
              </a:solidFill>
              <a:ln w="9525">
                <a:solidFill>
                  <a:srgbClr val="5B9BD5">
                    <a:lumMod val="50000"/>
                  </a:srgbClr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rgbClr val="5B9BD5">
                    <a:lumMod val="50000"/>
                  </a:srgbClr>
                </a:solidFill>
                <a:ln w="9525">
                  <a:solidFill>
                    <a:srgbClr val="5B9BD5">
                      <a:lumMod val="50000"/>
                    </a:srgbClr>
                  </a:solidFill>
                </a:ln>
                <a:effectLst/>
              </c:spPr>
            </c:marker>
            <c:bubble3D val="0"/>
            <c:spPr>
              <a:ln w="25400" cap="rnd">
                <a:solidFill>
                  <a:srgbClr val="5B9BD5">
                    <a:lumMod val="50000"/>
                  </a:srgb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300E-4865-BD37-A8BBC7167222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300E-4865-BD37-A8BBC7167222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25FB-4DAC-A992-EA65803A05DF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300E-4865-BD37-A8BBC7167222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300E-4865-BD37-A8BBC7167222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300E-4865-BD37-A8BBC7167222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300E-4865-BD37-A8BBC7167222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5DD9-4411-98CE-76F6CEFE5D3C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300E-4865-BD37-A8BBC7167222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25FB-4DAC-A992-EA65803A05DF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9EF6-4EBC-A901-4C0A0BE68A11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5DD9-4411-98CE-76F6CEFE5D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5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'STR &amp; SRT + QRW ZONE'!$P$2:$CU$2</c:f>
              <c:strCache>
                <c:ptCount val="25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2">
                  <c:v>S43</c:v>
                </c:pt>
                <c:pt idx="13">
                  <c:v>S44</c:v>
                </c:pt>
                <c:pt idx="14">
                  <c:v>S45</c:v>
                </c:pt>
                <c:pt idx="15">
                  <c:v>S46</c:v>
                </c:pt>
                <c:pt idx="16">
                  <c:v>S47</c:v>
                </c:pt>
                <c:pt idx="17">
                  <c:v>S48</c:v>
                </c:pt>
                <c:pt idx="18">
                  <c:v>S49</c:v>
                </c:pt>
                <c:pt idx="20">
                  <c:v>LUN</c:v>
                </c:pt>
                <c:pt idx="21">
                  <c:v>MAR</c:v>
                </c:pt>
                <c:pt idx="22">
                  <c:v>MIE</c:v>
                </c:pt>
                <c:pt idx="23">
                  <c:v>JUE</c:v>
                </c:pt>
                <c:pt idx="24">
                  <c:v>VIE</c:v>
                </c:pt>
              </c:strCache>
            </c:strRef>
          </c:cat>
          <c:val>
            <c:numRef>
              <c:f>'STR &amp; SRT + QRW ZONE'!$P$22:$CU$22</c:f>
              <c:numCache>
                <c:formatCode>0%</c:formatCode>
                <c:ptCount val="25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0.85</c:v>
                </c:pt>
                <c:pt idx="4">
                  <c:v>0.9</c:v>
                </c:pt>
                <c:pt idx="5">
                  <c:v>0.93</c:v>
                </c:pt>
                <c:pt idx="6">
                  <c:v>0.93</c:v>
                </c:pt>
                <c:pt idx="7">
                  <c:v>0.94</c:v>
                </c:pt>
                <c:pt idx="8">
                  <c:v>0.94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0.94</c:v>
                </c:pt>
                <c:pt idx="13">
                  <c:v>0.94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300E-4865-BD37-A8BBC7167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9812840"/>
        <c:axId val="919813232"/>
        <c:extLst/>
      </c:lineChart>
      <c:catAx>
        <c:axId val="919812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19813232"/>
        <c:crosses val="autoZero"/>
        <c:auto val="1"/>
        <c:lblAlgn val="ctr"/>
        <c:lblOffset val="100"/>
        <c:noMultiLvlLbl val="0"/>
      </c:catAx>
      <c:valAx>
        <c:axId val="919813232"/>
        <c:scaling>
          <c:orientation val="minMax"/>
          <c:max val="1"/>
        </c:scaling>
        <c:delete val="1"/>
        <c:axPos val="l"/>
        <c:numFmt formatCode="0" sourceLinked="1"/>
        <c:majorTickMark val="out"/>
        <c:minorTickMark val="none"/>
        <c:tickLblPos val="nextTo"/>
        <c:crossAx val="919812840"/>
        <c:crosses val="autoZero"/>
        <c:crossBetween val="between"/>
      </c:valAx>
      <c:valAx>
        <c:axId val="919813624"/>
        <c:scaling>
          <c:orientation val="minMax"/>
          <c:max val="10"/>
        </c:scaling>
        <c:delete val="1"/>
        <c:axPos val="r"/>
        <c:numFmt formatCode="0.00" sourceLinked="1"/>
        <c:majorTickMark val="out"/>
        <c:minorTickMark val="none"/>
        <c:tickLblPos val="nextTo"/>
        <c:crossAx val="919814016"/>
        <c:crosses val="max"/>
        <c:crossBetween val="between"/>
      </c:valAx>
      <c:catAx>
        <c:axId val="91981401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919813624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9797741061055891"/>
          <c:y val="0.88772600793321887"/>
          <c:w val="0.25744489981240964"/>
          <c:h val="0.10959341445955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6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 algn="ctr">
        <a:defRPr lang="en-US" sz="1000" b="1" i="0" u="none" strike="noStrike" kern="1200" baseline="0">
          <a:solidFill>
            <a:sysClr val="windowText" lastClr="000000"/>
          </a:solidFill>
          <a:latin typeface="+mn-lt"/>
          <a:ea typeface="+mn-ea"/>
          <a:cs typeface="+mn-cs"/>
        </a:defRPr>
      </a:pPr>
      <a:endParaRPr lang="es-AR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STR VU XND + RET2</a:t>
            </a:r>
          </a:p>
        </c:rich>
      </c:tx>
      <c:layout>
        <c:manualLayout>
          <c:xMode val="edge"/>
          <c:yMode val="edge"/>
          <c:x val="0.33216454908310589"/>
          <c:y val="3.0304024496937885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20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5.5286943216290511E-2"/>
          <c:y val="0.22701006124234466"/>
          <c:w val="0.9457221422804557"/>
          <c:h val="0.5200769174686497"/>
        </c:manualLayout>
      </c:layout>
      <c:barChart>
        <c:barDir val="col"/>
        <c:grouping val="clustered"/>
        <c:varyColors val="0"/>
        <c:ser>
          <c:idx val="6"/>
          <c:order val="6"/>
          <c:tx>
            <c:strRef>
              <c:f>'STR &amp; SRT + QRW ZONE'!$A$9</c:f>
              <c:strCache>
                <c:ptCount val="1"/>
                <c:pt idx="0">
                  <c:v>STR(+RET2)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CB6-47A1-8D06-652977AC9CC8}"/>
              </c:ext>
            </c:extLst>
          </c:dPt>
          <c:dPt>
            <c:idx val="2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396-4626-BBC6-4AA4B5E7E89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n-US" sz="18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'STR &amp; SRT + QRW ZONE'!$J$2:$CV$2</c:f>
              <c:strCache>
                <c:ptCount val="26"/>
                <c:pt idx="1">
                  <c:v>ENE</c:v>
                </c:pt>
                <c:pt idx="2">
                  <c:v>FEB</c:v>
                </c:pt>
                <c:pt idx="3">
                  <c:v>MAR</c:v>
                </c:pt>
                <c:pt idx="4">
                  <c:v>ABR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SEPT</c:v>
                </c:pt>
                <c:pt idx="10">
                  <c:v>OCT</c:v>
                </c:pt>
                <c:pt idx="11">
                  <c:v>NOV</c:v>
                </c:pt>
                <c:pt idx="13">
                  <c:v>S43</c:v>
                </c:pt>
                <c:pt idx="14">
                  <c:v>S44</c:v>
                </c:pt>
                <c:pt idx="15">
                  <c:v>S45</c:v>
                </c:pt>
                <c:pt idx="16">
                  <c:v>S46</c:v>
                </c:pt>
                <c:pt idx="17">
                  <c:v>S47</c:v>
                </c:pt>
                <c:pt idx="18">
                  <c:v>S48</c:v>
                </c:pt>
                <c:pt idx="19">
                  <c:v>S49</c:v>
                </c:pt>
                <c:pt idx="21">
                  <c:v>LUN</c:v>
                </c:pt>
                <c:pt idx="22">
                  <c:v>MAR</c:v>
                </c:pt>
                <c:pt idx="23">
                  <c:v>MIE</c:v>
                </c:pt>
                <c:pt idx="24">
                  <c:v>JUE</c:v>
                </c:pt>
                <c:pt idx="25">
                  <c:v>VIE</c:v>
                </c:pt>
              </c:strCache>
            </c:strRef>
          </c:cat>
          <c:val>
            <c:numRef>
              <c:f>'STR &amp; SRT + QRW ZONE'!$J$9:$CV$9</c:f>
              <c:numCache>
                <c:formatCode>0.00</c:formatCode>
                <c:ptCount val="27"/>
                <c:pt idx="4" formatCode="0%">
                  <c:v>0.54</c:v>
                </c:pt>
                <c:pt idx="5" formatCode="0%">
                  <c:v>0.56999999999999995</c:v>
                </c:pt>
                <c:pt idx="6" formatCode="0%">
                  <c:v>0.43</c:v>
                </c:pt>
                <c:pt idx="7" formatCode="0%">
                  <c:v>0.55000000000000004</c:v>
                </c:pt>
                <c:pt idx="8" formatCode="0%">
                  <c:v>0.52</c:v>
                </c:pt>
                <c:pt idx="9" formatCode="0%">
                  <c:v>0.56420000000000003</c:v>
                </c:pt>
                <c:pt idx="10" formatCode="0%">
                  <c:v>0</c:v>
                </c:pt>
                <c:pt idx="11" formatCode="0%">
                  <c:v>0.63</c:v>
                </c:pt>
                <c:pt idx="13" formatCode="0%">
                  <c:v>0.56840000000000002</c:v>
                </c:pt>
                <c:pt idx="14" formatCode="0%">
                  <c:v>0.63300000000000001</c:v>
                </c:pt>
                <c:pt idx="15" formatCode="0%">
                  <c:v>0.63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B1-424A-8101-8866D20863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556531216"/>
        <c:axId val="556531608"/>
        <c:extLst>
          <c:ext xmlns:c15="http://schemas.microsoft.com/office/drawing/2012/chart" uri="{02D57815-91ED-43cb-92C2-25804820EDAC}">
            <c15:filteredBarSeries>
              <c15:ser>
                <c:idx val="2"/>
                <c:order val="0"/>
                <c:tx>
                  <c:v>DEPARTAMENTO  CHAPA</c:v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'STR &amp; SRT + QRW ZONE'!$J$2:$CV$2</c15:sqref>
                        </c15:formulaRef>
                      </c:ext>
                    </c:extLst>
                    <c:strCache>
                      <c:ptCount val="26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  <c:pt idx="13">
                        <c:v>S43</c:v>
                      </c:pt>
                      <c:pt idx="14">
                        <c:v>S44</c:v>
                      </c:pt>
                      <c:pt idx="15">
                        <c:v>S45</c:v>
                      </c:pt>
                      <c:pt idx="16">
                        <c:v>S46</c:v>
                      </c:pt>
                      <c:pt idx="17">
                        <c:v>S47</c:v>
                      </c:pt>
                      <c:pt idx="18">
                        <c:v>S48</c:v>
                      </c:pt>
                      <c:pt idx="19">
                        <c:v>S49</c:v>
                      </c:pt>
                      <c:pt idx="21">
                        <c:v>LUN</c:v>
                      </c:pt>
                      <c:pt idx="22">
                        <c:v>MAR</c:v>
                      </c:pt>
                      <c:pt idx="23">
                        <c:v>MIE</c:v>
                      </c:pt>
                      <c:pt idx="24">
                        <c:v>JUE</c:v>
                      </c:pt>
                      <c:pt idx="25">
                        <c:v>VIE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1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>
                  <c:ext xmlns:c16="http://schemas.microsoft.com/office/drawing/2014/chart" uri="{C3380CC4-5D6E-409C-BE32-E72D297353CC}">
                    <c16:uniqueId val="{00000014-32B1-424A-8101-8866D2086361}"/>
                  </c:ext>
                </c:extLst>
              </c15:ser>
            </c15:filteredBarSeries>
            <c15:filteredBarSeries>
              <c15:ser>
                <c:idx val="0"/>
                <c:order val="1"/>
                <c:tx>
                  <c:v>DEPARTAMENTO MONTAJE VU</c:v>
                </c:tx>
                <c:spPr>
                  <a:solidFill>
                    <a:schemeClr val="accent1">
                      <a:lumMod val="60000"/>
                      <a:lumOff val="4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numFmt formatCode="#,##0.00;;;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ellipsis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lang="en-US" sz="1200" b="1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A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'STR &amp; SRT + QRW ZONE'!$J$2:$CV$2</c15:sqref>
                        </c15:formulaRef>
                      </c:ext>
                    </c:extLst>
                    <c:strCache>
                      <c:ptCount val="26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  <c:pt idx="13">
                        <c:v>S43</c:v>
                      </c:pt>
                      <c:pt idx="14">
                        <c:v>S44</c:v>
                      </c:pt>
                      <c:pt idx="15">
                        <c:v>S45</c:v>
                      </c:pt>
                      <c:pt idx="16">
                        <c:v>S46</c:v>
                      </c:pt>
                      <c:pt idx="17">
                        <c:v>S47</c:v>
                      </c:pt>
                      <c:pt idx="18">
                        <c:v>S48</c:v>
                      </c:pt>
                      <c:pt idx="19">
                        <c:v>S49</c:v>
                      </c:pt>
                      <c:pt idx="21">
                        <c:v>LUN</c:v>
                      </c:pt>
                      <c:pt idx="22">
                        <c:v>MAR</c:v>
                      </c:pt>
                      <c:pt idx="23">
                        <c:v>MIE</c:v>
                      </c:pt>
                      <c:pt idx="24">
                        <c:v>JUE</c:v>
                      </c:pt>
                      <c:pt idx="25">
                        <c:v>VIE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1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32B1-424A-8101-8866D2086361}"/>
                  </c:ext>
                </c:extLst>
              </c15:ser>
            </c15:filteredBarSeries>
            <c15:filteredBarSeries>
              <c15:ser>
                <c:idx val="1"/>
                <c:order val="2"/>
                <c:tx>
                  <c:v>DEPARTAMENTO PINTURA</c:v>
                </c:tx>
                <c:spPr>
                  <a:gradFill>
                    <a:gsLst>
                      <a:gs pos="0">
                        <a:sysClr val="windowText" lastClr="000000">
                          <a:lumMod val="100000"/>
                        </a:sysClr>
                      </a:gs>
                      <a:gs pos="50000">
                        <a:srgbClr val="FF0000">
                          <a:lumMod val="100000"/>
                        </a:srgbClr>
                      </a:gs>
                      <a:gs pos="100000">
                        <a:sysClr val="windowText" lastClr="000000"/>
                      </a:gs>
                    </a:gsLst>
                    <a:lin ang="10800000" scaled="1"/>
                  </a:gradFill>
                  <a:ln>
                    <a:noFill/>
                  </a:ln>
                  <a:effectLst/>
                </c:spPr>
                <c:invertIfNegative val="0"/>
                <c:dPt>
                  <c:idx val="7"/>
                  <c:invertIfNegative val="0"/>
                  <c:bubble3D val="0"/>
                  <c:spPr>
                    <a:gradFill>
                      <a:gsLst>
                        <a:gs pos="0">
                          <a:sysClr val="windowText" lastClr="000000">
                            <a:lumMod val="100000"/>
                          </a:sysClr>
                        </a:gs>
                        <a:gs pos="50000">
                          <a:srgbClr val="FF0000">
                            <a:lumMod val="100000"/>
                          </a:srgbClr>
                        </a:gs>
                        <a:gs pos="100000">
                          <a:sysClr val="windowText" lastClr="000000"/>
                        </a:gs>
                      </a:gsLst>
                      <a:lin ang="10800000" scaled="1"/>
                    </a:gra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7-32B1-424A-8101-8866D2086361}"/>
                    </c:ext>
                  </c:extLst>
                </c:dPt>
                <c:dPt>
                  <c:idx val="8"/>
                  <c:invertIfNegative val="0"/>
                  <c:bubble3D val="0"/>
                  <c:spPr>
                    <a:gradFill>
                      <a:gsLst>
                        <a:gs pos="0">
                          <a:sysClr val="windowText" lastClr="000000">
                            <a:lumMod val="100000"/>
                          </a:sysClr>
                        </a:gs>
                        <a:gs pos="50000">
                          <a:srgbClr val="FF0000">
                            <a:lumMod val="100000"/>
                          </a:srgbClr>
                        </a:gs>
                        <a:gs pos="100000">
                          <a:sysClr val="windowText" lastClr="000000"/>
                        </a:gs>
                      </a:gsLst>
                      <a:lin ang="10800000" scaled="1"/>
                    </a:gra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9-32B1-424A-8101-8866D2086361}"/>
                    </c:ext>
                  </c:extLst>
                </c:dPt>
                <c:dLbls>
                  <c:numFmt formatCode="#,##0.00;;;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ellipsis" wrap="square" lIns="38100" tIns="19050" rIns="38100" bIns="19050" anchor="ctr" anchorCtr="0">
                      <a:spAutoFit/>
                    </a:bodyPr>
                    <a:lstStyle/>
                    <a:p>
                      <a:pPr algn="ctr">
                        <a:defRPr lang="en-US" sz="1600" b="1" i="0" u="none" strike="noStrike" kern="1200" baseline="0">
                          <a:solidFill>
                            <a:schemeClr val="bg1"/>
                          </a:solidFill>
                          <a:effectLst>
                            <a:glow rad="127000">
                              <a:schemeClr val="tx1"/>
                            </a:glow>
                          </a:effectLst>
                          <a:latin typeface="+mn-lt"/>
                          <a:ea typeface="+mn-ea"/>
                          <a:cs typeface="+mn-cs"/>
                        </a:defRPr>
                      </a:pPr>
                      <a:endParaRPr lang="es-AR"/>
                    </a:p>
                  </c:txPr>
                  <c:dLblPos val="inBase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0"/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'STR &amp; SRT + QRW ZONE'!$J$2:$CV$2</c15:sqref>
                        </c15:formulaRef>
                      </c:ext>
                    </c:extLst>
                    <c:strCache>
                      <c:ptCount val="26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  <c:pt idx="13">
                        <c:v>S43</c:v>
                      </c:pt>
                      <c:pt idx="14">
                        <c:v>S44</c:v>
                      </c:pt>
                      <c:pt idx="15">
                        <c:v>S45</c:v>
                      </c:pt>
                      <c:pt idx="16">
                        <c:v>S46</c:v>
                      </c:pt>
                      <c:pt idx="17">
                        <c:v>S47</c:v>
                      </c:pt>
                      <c:pt idx="18">
                        <c:v>S48</c:v>
                      </c:pt>
                      <c:pt idx="19">
                        <c:v>S49</c:v>
                      </c:pt>
                      <c:pt idx="21">
                        <c:v>LUN</c:v>
                      </c:pt>
                      <c:pt idx="22">
                        <c:v>MAR</c:v>
                      </c:pt>
                      <c:pt idx="23">
                        <c:v>MIE</c:v>
                      </c:pt>
                      <c:pt idx="24">
                        <c:v>JUE</c:v>
                      </c:pt>
                      <c:pt idx="25">
                        <c:v>VIE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0.5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32B1-424A-8101-8866D2086361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v>CALIDAD DE PIEZAS</c:v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'STR &amp; SRT + QRW ZONE'!$J$2:$CV$2</c15:sqref>
                        </c15:formulaRef>
                      </c:ext>
                    </c:extLst>
                    <c:strCache>
                      <c:ptCount val="26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  <c:pt idx="13">
                        <c:v>S43</c:v>
                      </c:pt>
                      <c:pt idx="14">
                        <c:v>S44</c:v>
                      </c:pt>
                      <c:pt idx="15">
                        <c:v>S45</c:v>
                      </c:pt>
                      <c:pt idx="16">
                        <c:v>S46</c:v>
                      </c:pt>
                      <c:pt idx="17">
                        <c:v>S47</c:v>
                      </c:pt>
                      <c:pt idx="18">
                        <c:v>S48</c:v>
                      </c:pt>
                      <c:pt idx="19">
                        <c:v>S49</c:v>
                      </c:pt>
                      <c:pt idx="21">
                        <c:v>LUN</c:v>
                      </c:pt>
                      <c:pt idx="22">
                        <c:v>MAR</c:v>
                      </c:pt>
                      <c:pt idx="23">
                        <c:v>MIE</c:v>
                      </c:pt>
                      <c:pt idx="24">
                        <c:v>JUE</c:v>
                      </c:pt>
                      <c:pt idx="25">
                        <c:v>VIE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0.01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32B1-424A-8101-8866D2086361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v>DIRECCION ADJUNTA TECNICA</c:v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'STR &amp; SRT + QRW ZONE'!$J$2:$CV$2</c15:sqref>
                        </c15:formulaRef>
                      </c:ext>
                    </c:extLst>
                    <c:strCache>
                      <c:ptCount val="26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  <c:pt idx="13">
                        <c:v>S43</c:v>
                      </c:pt>
                      <c:pt idx="14">
                        <c:v>S44</c:v>
                      </c:pt>
                      <c:pt idx="15">
                        <c:v>S45</c:v>
                      </c:pt>
                      <c:pt idx="16">
                        <c:v>S46</c:v>
                      </c:pt>
                      <c:pt idx="17">
                        <c:v>S47</c:v>
                      </c:pt>
                      <c:pt idx="18">
                        <c:v>S48</c:v>
                      </c:pt>
                      <c:pt idx="19">
                        <c:v>S49</c:v>
                      </c:pt>
                      <c:pt idx="21">
                        <c:v>LUN</c:v>
                      </c:pt>
                      <c:pt idx="22">
                        <c:v>MAR</c:v>
                      </c:pt>
                      <c:pt idx="23">
                        <c:v>MIE</c:v>
                      </c:pt>
                      <c:pt idx="24">
                        <c:v>JUE</c:v>
                      </c:pt>
                      <c:pt idx="25">
                        <c:v>VIE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0.01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2B1-424A-8101-8866D2086361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v>DEPARTAMENTO LOGISTICA INDUSTRIAL</c:v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'STR &amp; SRT + QRW ZONE'!$J$2:$CV$2</c15:sqref>
                        </c15:formulaRef>
                      </c:ext>
                    </c:extLst>
                    <c:strCache>
                      <c:ptCount val="26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  <c:pt idx="13">
                        <c:v>S43</c:v>
                      </c:pt>
                      <c:pt idx="14">
                        <c:v>S44</c:v>
                      </c:pt>
                      <c:pt idx="15">
                        <c:v>S45</c:v>
                      </c:pt>
                      <c:pt idx="16">
                        <c:v>S46</c:v>
                      </c:pt>
                      <c:pt idx="17">
                        <c:v>S47</c:v>
                      </c:pt>
                      <c:pt idx="18">
                        <c:v>S48</c:v>
                      </c:pt>
                      <c:pt idx="19">
                        <c:v>S49</c:v>
                      </c:pt>
                      <c:pt idx="21">
                        <c:v>LUN</c:v>
                      </c:pt>
                      <c:pt idx="22">
                        <c:v>MAR</c:v>
                      </c:pt>
                      <c:pt idx="23">
                        <c:v>MIE</c:v>
                      </c:pt>
                      <c:pt idx="24">
                        <c:v>JUE</c:v>
                      </c:pt>
                      <c:pt idx="25">
                        <c:v>VIE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0.2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2B1-424A-8101-8866D2086361}"/>
                  </c:ext>
                </c:extLst>
              </c15:ser>
            </c15:filteredBarSeries>
          </c:ext>
        </c:extLst>
      </c:barChart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556532392"/>
        <c:axId val="556532000"/>
        <c:extLst>
          <c:ext xmlns:c15="http://schemas.microsoft.com/office/drawing/2012/chart" uri="{02D57815-91ED-43cb-92C2-25804820EDAC}">
            <c15:filteredBarSeries>
              <c15:ser>
                <c:idx val="7"/>
                <c:order val="7"/>
                <c:tx>
                  <c:v>Trayectoria</c:v>
                </c:tx>
                <c:spPr>
                  <a:noFill/>
                  <a:ln w="22225">
                    <a:solidFill>
                      <a:schemeClr val="tx1"/>
                    </a:solidFill>
                    <a:prstDash val="sysDash"/>
                  </a:ln>
                  <a:effectLst/>
                </c:spPr>
                <c:invertIfNegative val="0"/>
                <c:dLbls>
                  <c:dLbl>
                    <c:idx val="3"/>
                    <c:layout>
                      <c:manualLayout>
                        <c:x val="-1.3909394436840963E-3"/>
                        <c:y val="-0.24768553930758655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1E-32B1-424A-8101-8866D2086361}"/>
                      </c:ext>
                    </c:extLst>
                  </c:dLbl>
                  <c:dLbl>
                    <c:idx val="4"/>
                    <c:layout>
                      <c:manualLayout>
                        <c:x val="0"/>
                        <c:y val="-7.954555680539932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1F-32B1-424A-8101-8866D2086361}"/>
                      </c:ext>
                    </c:extLst>
                  </c:dLbl>
                  <c:dLbl>
                    <c:idx val="6"/>
                    <c:layout>
                      <c:manualLayout>
                        <c:x val="0"/>
                        <c:y val="-2.443281245911837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20-32B1-424A-8101-8866D2086361}"/>
                      </c:ext>
                    </c:extLst>
                  </c:dLbl>
                  <c:dLbl>
                    <c:idx val="7"/>
                    <c:layout>
                      <c:manualLayout>
                        <c:x val="0"/>
                        <c:y val="-6.3525312393707692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21-32B1-424A-8101-8866D2086361}"/>
                      </c:ext>
                    </c:extLst>
                  </c:dLbl>
                  <c:dLbl>
                    <c:idx val="10"/>
                    <c:layout>
                      <c:manualLayout>
                        <c:x val="2.7819171878015339E-3"/>
                        <c:y val="-1.4659687475471085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22-32B1-424A-8101-8866D2086361}"/>
                      </c:ext>
                    </c:extLst>
                  </c:dLbl>
                  <c:dLbl>
                    <c:idx val="11"/>
                    <c:layout>
                      <c:manualLayout>
                        <c:x val="2.781917187801432E-3"/>
                        <c:y val="-1.4659687475470995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23-32B1-424A-8101-8866D2086361}"/>
                      </c:ext>
                    </c:extLst>
                  </c:dLbl>
                  <c:dLbl>
                    <c:idx val="12"/>
                    <c:layout>
                      <c:manualLayout>
                        <c:x val="2.781917187801432E-3"/>
                        <c:y val="1.9546249967294659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24-32B1-424A-8101-8866D2086361}"/>
                      </c:ext>
                    </c:extLst>
                  </c:dLbl>
                  <c:numFmt formatCode="#,##0.0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0">
                      <a:spAutoFit/>
                    </a:bodyPr>
                    <a:lstStyle/>
                    <a:p>
                      <a:pPr algn="ctr">
                        <a:defRPr lang="en-US" sz="1000" b="1" i="1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A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0"/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'STR &amp; SRT + QRW ZONE'!$J$2:$BF$2</c15:sqref>
                        </c15:formulaRef>
                      </c:ext>
                    </c:extLst>
                    <c:strCache>
                      <c:ptCount val="12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0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>
                  <c:ext xmlns:c16="http://schemas.microsoft.com/office/drawing/2014/chart" uri="{C3380CC4-5D6E-409C-BE32-E72D297353CC}">
                    <c16:uniqueId val="{00000025-32B1-424A-8101-8866D2086361}"/>
                  </c:ext>
                </c:extLst>
              </c15:ser>
            </c15:filteredBarSeries>
          </c:ext>
        </c:extLst>
      </c:barChart>
      <c:lineChart>
        <c:grouping val="stacked"/>
        <c:varyColors val="0"/>
        <c:ser>
          <c:idx val="8"/>
          <c:order val="8"/>
          <c:tx>
            <c:strRef>
              <c:f>'STR &amp; SRT + QRW ZONE'!$A$22</c:f>
              <c:strCache>
                <c:ptCount val="1"/>
                <c:pt idx="0">
                  <c:v>TARGET</c:v>
                </c:pt>
              </c:strCache>
            </c:strRef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5B9BD5">
                  <a:lumMod val="50000"/>
                </a:srgbClr>
              </a:solidFill>
              <a:ln w="9525">
                <a:solidFill>
                  <a:srgbClr val="5B9BD5">
                    <a:lumMod val="50000"/>
                  </a:srgbClr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rgbClr val="5B9BD5">
                    <a:lumMod val="50000"/>
                  </a:srgbClr>
                </a:solidFill>
                <a:ln w="9525">
                  <a:solidFill>
                    <a:srgbClr val="5B9BD5">
                      <a:lumMod val="50000"/>
                    </a:srgbClr>
                  </a:solidFill>
                </a:ln>
                <a:effectLst/>
              </c:spPr>
            </c:marker>
            <c:bubble3D val="0"/>
            <c:spPr>
              <a:ln w="25400" cap="rnd">
                <a:solidFill>
                  <a:srgbClr val="5B9BD5">
                    <a:lumMod val="50000"/>
                  </a:srgb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32B1-424A-8101-8866D2086361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2B1-424A-8101-8866D2086361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B6-47A1-8D06-652977AC9CC8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2B1-424A-8101-8866D2086361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2B1-424A-8101-8866D2086361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2B1-424A-8101-8866D2086361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2B1-424A-8101-8866D2086361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396-4626-BBC6-4AA4B5E7E891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2B1-424A-8101-8866D2086361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32B1-424A-8101-8866D2086361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B6-47A1-8D06-652977AC9CC8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475-42C9-BD12-FE2F2A22E7D7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396-4626-BBC6-4AA4B5E7E89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5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'STR &amp; SRT + QRW ZONE'!$J$2:$CW$2</c:f>
              <c:strCache>
                <c:ptCount val="28"/>
                <c:pt idx="1">
                  <c:v>ENE</c:v>
                </c:pt>
                <c:pt idx="2">
                  <c:v>FEB</c:v>
                </c:pt>
                <c:pt idx="3">
                  <c:v>MAR</c:v>
                </c:pt>
                <c:pt idx="4">
                  <c:v>ABR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SEPT</c:v>
                </c:pt>
                <c:pt idx="10">
                  <c:v>OCT</c:v>
                </c:pt>
                <c:pt idx="11">
                  <c:v>NOV</c:v>
                </c:pt>
                <c:pt idx="13">
                  <c:v>S43</c:v>
                </c:pt>
                <c:pt idx="14">
                  <c:v>S44</c:v>
                </c:pt>
                <c:pt idx="15">
                  <c:v>S45</c:v>
                </c:pt>
                <c:pt idx="16">
                  <c:v>S46</c:v>
                </c:pt>
                <c:pt idx="17">
                  <c:v>S47</c:v>
                </c:pt>
                <c:pt idx="18">
                  <c:v>S48</c:v>
                </c:pt>
                <c:pt idx="19">
                  <c:v>S49</c:v>
                </c:pt>
                <c:pt idx="21">
                  <c:v>LUN</c:v>
                </c:pt>
                <c:pt idx="22">
                  <c:v>MAR</c:v>
                </c:pt>
                <c:pt idx="23">
                  <c:v>MIE</c:v>
                </c:pt>
                <c:pt idx="24">
                  <c:v>JUE</c:v>
                </c:pt>
                <c:pt idx="25">
                  <c:v>VIE</c:v>
                </c:pt>
                <c:pt idx="27">
                  <c:v>JUN</c:v>
                </c:pt>
              </c:strCache>
            </c:strRef>
          </c:cat>
          <c:val>
            <c:numRef>
              <c:f>'STR &amp; SRT + QRW ZONE'!$P$22:$CV$22</c:f>
              <c:numCache>
                <c:formatCode>0%</c:formatCode>
                <c:ptCount val="2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0.85</c:v>
                </c:pt>
                <c:pt idx="4">
                  <c:v>0.9</c:v>
                </c:pt>
                <c:pt idx="5">
                  <c:v>0.93</c:v>
                </c:pt>
                <c:pt idx="6">
                  <c:v>0.93</c:v>
                </c:pt>
                <c:pt idx="7">
                  <c:v>0.94</c:v>
                </c:pt>
                <c:pt idx="8">
                  <c:v>0.94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0.94</c:v>
                </c:pt>
                <c:pt idx="13">
                  <c:v>0.94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2B1-424A-8101-8866D20863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531216"/>
        <c:axId val="556531608"/>
        <c:extLst/>
      </c:lineChart>
      <c:catAx>
        <c:axId val="556531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56531608"/>
        <c:crosses val="autoZero"/>
        <c:auto val="1"/>
        <c:lblAlgn val="ctr"/>
        <c:lblOffset val="100"/>
        <c:noMultiLvlLbl val="0"/>
      </c:catAx>
      <c:valAx>
        <c:axId val="556531608"/>
        <c:scaling>
          <c:orientation val="minMax"/>
          <c:max val="1"/>
        </c:scaling>
        <c:delete val="1"/>
        <c:axPos val="l"/>
        <c:numFmt formatCode="0.00" sourceLinked="1"/>
        <c:majorTickMark val="out"/>
        <c:minorTickMark val="none"/>
        <c:tickLblPos val="nextTo"/>
        <c:crossAx val="556531216"/>
        <c:crosses val="autoZero"/>
        <c:crossBetween val="between"/>
      </c:valAx>
      <c:valAx>
        <c:axId val="556532000"/>
        <c:scaling>
          <c:orientation val="minMax"/>
          <c:max val="10"/>
        </c:scaling>
        <c:delete val="1"/>
        <c:axPos val="r"/>
        <c:numFmt formatCode="0.00" sourceLinked="1"/>
        <c:majorTickMark val="out"/>
        <c:minorTickMark val="none"/>
        <c:tickLblPos val="nextTo"/>
        <c:crossAx val="556532392"/>
        <c:crosses val="max"/>
        <c:crossBetween val="between"/>
      </c:valAx>
      <c:catAx>
        <c:axId val="55653239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556532000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7830522257742605"/>
          <c:y val="0.8877260796945835"/>
          <c:w val="0.25744489981240964"/>
          <c:h val="0.10959341445955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6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 algn="ctr">
        <a:defRPr lang="en-US" sz="1000" b="1" i="0" u="none" strike="noStrike" kern="1200" baseline="0">
          <a:solidFill>
            <a:sysClr val="windowText" lastClr="000000"/>
          </a:solidFill>
          <a:latin typeface="+mn-lt"/>
          <a:ea typeface="+mn-ea"/>
          <a:cs typeface="+mn-cs"/>
        </a:defRPr>
      </a:pPr>
      <a:endParaRPr lang="es-AR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STR VP X67-X52</a:t>
            </a:r>
          </a:p>
        </c:rich>
      </c:tx>
      <c:layout>
        <c:manualLayout>
          <c:xMode val="edge"/>
          <c:yMode val="edge"/>
          <c:x val="0.34397682503295268"/>
          <c:y val="3.0301642466180915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20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5.5286943216290511E-2"/>
          <c:y val="0.22910349386635823"/>
          <c:w val="0.9457221422804557"/>
          <c:h val="0.54161478819560205"/>
        </c:manualLayout>
      </c:layout>
      <c:barChart>
        <c:barDir val="col"/>
        <c:grouping val="clustered"/>
        <c:varyColors val="0"/>
        <c:ser>
          <c:idx val="6"/>
          <c:order val="6"/>
          <c:tx>
            <c:strRef>
              <c:f>'STR &amp; SRT + QRW ZONE'!$A$13</c:f>
              <c:strCache>
                <c:ptCount val="1"/>
                <c:pt idx="0">
                  <c:v>STR VP</c:v>
                </c:pt>
              </c:strCache>
            </c:strRef>
          </c:tx>
          <c:spPr>
            <a:gradFill flip="none" rotWithShape="1">
              <a:gsLst>
                <a:gs pos="0">
                  <a:srgbClr val="70AD47">
                    <a:lumMod val="50000"/>
                    <a:shade val="30000"/>
                    <a:satMod val="115000"/>
                  </a:srgbClr>
                </a:gs>
                <a:gs pos="50000">
                  <a:srgbClr val="70AD47">
                    <a:lumMod val="50000"/>
                    <a:shade val="67500"/>
                    <a:satMod val="115000"/>
                  </a:srgbClr>
                </a:gs>
                <a:gs pos="100000">
                  <a:srgbClr val="70AD47">
                    <a:lumMod val="50000"/>
                    <a:shade val="100000"/>
                    <a:satMod val="115000"/>
                  </a:srgbClr>
                </a:gs>
              </a:gsLst>
              <a:lin ang="2700000" scaled="1"/>
              <a:tileRect/>
            </a:gra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BD-4F27-A1C1-E20841A0EA7E}"/>
              </c:ext>
            </c:extLst>
          </c:dPt>
          <c:dPt>
            <c:idx val="6"/>
            <c:invertIfNegative val="0"/>
            <c:bubble3D val="0"/>
            <c:spPr>
              <a:solidFill>
                <a:srgbClr val="70AD47">
                  <a:lumMod val="5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BD-4F27-A1C1-E20841A0EA7E}"/>
              </c:ext>
            </c:extLst>
          </c:dPt>
          <c:dPt>
            <c:idx val="7"/>
            <c:invertIfNegative val="0"/>
            <c:bubble3D val="0"/>
            <c:spPr>
              <a:solidFill>
                <a:srgbClr val="70AD47">
                  <a:lumMod val="5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BD-4F27-A1C1-E20841A0EA7E}"/>
              </c:ext>
            </c:extLst>
          </c:dPt>
          <c:dPt>
            <c:idx val="8"/>
            <c:invertIfNegative val="0"/>
            <c:bubble3D val="0"/>
            <c:spPr>
              <a:solidFill>
                <a:srgbClr val="70AD47">
                  <a:lumMod val="5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BD-4F27-A1C1-E20841A0EA7E}"/>
              </c:ext>
            </c:extLst>
          </c:dPt>
          <c:dPt>
            <c:idx val="1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BD-4F27-A1C1-E20841A0EA7E}"/>
              </c:ext>
            </c:extLst>
          </c:dPt>
          <c:dPt>
            <c:idx val="12"/>
            <c:invertIfNegative val="0"/>
            <c:bubble3D val="0"/>
            <c:spPr>
              <a:solidFill>
                <a:srgbClr val="70AD47">
                  <a:lumMod val="5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BD-4F27-A1C1-E20841A0EA7E}"/>
              </c:ext>
            </c:extLst>
          </c:dPt>
          <c:dPt>
            <c:idx val="13"/>
            <c:invertIfNegative val="0"/>
            <c:bubble3D val="0"/>
            <c:spPr>
              <a:solidFill>
                <a:srgbClr val="70AD47">
                  <a:lumMod val="5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BD-4F27-A1C1-E20841A0EA7E}"/>
              </c:ext>
            </c:extLst>
          </c:dPt>
          <c:dPt>
            <c:idx val="14"/>
            <c:invertIfNegative val="0"/>
            <c:bubble3D val="0"/>
            <c:spPr>
              <a:solidFill>
                <a:srgbClr val="70AD47">
                  <a:lumMod val="5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7EBD-4F27-A1C1-E20841A0EA7E}"/>
              </c:ext>
            </c:extLst>
          </c:dPt>
          <c:dPt>
            <c:idx val="1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7EBD-4F27-A1C1-E20841A0EA7E}"/>
              </c:ext>
            </c:extLst>
          </c:dPt>
          <c:dPt>
            <c:idx val="16"/>
            <c:invertIfNegative val="0"/>
            <c:bubble3D val="0"/>
            <c:spPr>
              <a:solidFill>
                <a:srgbClr val="70AD47">
                  <a:lumMod val="5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7EBD-4F27-A1C1-E20841A0EA7E}"/>
              </c:ext>
            </c:extLst>
          </c:dPt>
          <c:dPt>
            <c:idx val="19"/>
            <c:invertIfNegative val="0"/>
            <c:bubble3D val="0"/>
            <c:spPr>
              <a:solidFill>
                <a:srgbClr val="70AD47">
                  <a:lumMod val="5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7EBD-4F27-A1C1-E20841A0EA7E}"/>
              </c:ext>
            </c:extLst>
          </c:dPt>
          <c:dPt>
            <c:idx val="20"/>
            <c:invertIfNegative val="0"/>
            <c:bubble3D val="0"/>
            <c:spPr>
              <a:solidFill>
                <a:srgbClr val="70AD47">
                  <a:lumMod val="50000"/>
                </a:srgbClr>
              </a:solidFill>
              <a:ln>
                <a:solidFill>
                  <a:srgbClr val="70AD47">
                    <a:lumMod val="50000"/>
                  </a:srgb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7EBD-4F27-A1C1-E20841A0EA7E}"/>
              </c:ext>
            </c:extLst>
          </c:dPt>
          <c:dPt>
            <c:idx val="2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AA82-4411-B7A4-153877FD7EB6}"/>
              </c:ext>
            </c:extLst>
          </c:dPt>
          <c:dPt>
            <c:idx val="2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D818-4B49-BD2D-039AC53BB423}"/>
              </c:ext>
            </c:extLst>
          </c:dPt>
          <c:dPt>
            <c:idx val="2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F25C-432C-9092-4B5C4B37C42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n-US" sz="1800" b="1" i="0" u="none" strike="noStrike" kern="1200" baseline="0">
                    <a:solidFill>
                      <a:schemeClr val="bg1"/>
                    </a:solidFill>
                    <a:effectLst>
                      <a:outerShdw blurRad="50800" dist="114300" dir="8100000" algn="tr" rotWithShape="0">
                        <a:schemeClr val="tx1">
                          <a:alpha val="41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'STR &amp; SRT + QRW ZONE'!$J$2:$CU$2</c:f>
              <c:strCache>
                <c:ptCount val="26"/>
                <c:pt idx="1">
                  <c:v>ENE</c:v>
                </c:pt>
                <c:pt idx="2">
                  <c:v>FEB</c:v>
                </c:pt>
                <c:pt idx="3">
                  <c:v>MAR</c:v>
                </c:pt>
                <c:pt idx="4">
                  <c:v>ABR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SEPT</c:v>
                </c:pt>
                <c:pt idx="10">
                  <c:v>OCT</c:v>
                </c:pt>
                <c:pt idx="11">
                  <c:v>NOV</c:v>
                </c:pt>
                <c:pt idx="13">
                  <c:v>S43</c:v>
                </c:pt>
                <c:pt idx="14">
                  <c:v>S44</c:v>
                </c:pt>
                <c:pt idx="15">
                  <c:v>S45</c:v>
                </c:pt>
                <c:pt idx="16">
                  <c:v>S46</c:v>
                </c:pt>
                <c:pt idx="17">
                  <c:v>S47</c:v>
                </c:pt>
                <c:pt idx="18">
                  <c:v>S48</c:v>
                </c:pt>
                <c:pt idx="19">
                  <c:v>S49</c:v>
                </c:pt>
                <c:pt idx="21">
                  <c:v>LUN</c:v>
                </c:pt>
                <c:pt idx="22">
                  <c:v>MAR</c:v>
                </c:pt>
                <c:pt idx="23">
                  <c:v>MIE</c:v>
                </c:pt>
                <c:pt idx="24">
                  <c:v>JUE</c:v>
                </c:pt>
                <c:pt idx="25">
                  <c:v>VIE</c:v>
                </c:pt>
              </c:strCache>
            </c:strRef>
          </c:cat>
          <c:val>
            <c:numRef>
              <c:f>'STR &amp; SRT + QRW ZONE'!$J$13:$CU$13</c:f>
              <c:numCache>
                <c:formatCode>0%</c:formatCode>
                <c:ptCount val="26"/>
                <c:pt idx="2">
                  <c:v>0.69</c:v>
                </c:pt>
                <c:pt idx="3">
                  <c:v>0.85</c:v>
                </c:pt>
                <c:pt idx="4">
                  <c:v>0.93</c:v>
                </c:pt>
                <c:pt idx="5">
                  <c:v>0.93</c:v>
                </c:pt>
                <c:pt idx="6">
                  <c:v>0.97</c:v>
                </c:pt>
                <c:pt idx="7">
                  <c:v>0.95</c:v>
                </c:pt>
                <c:pt idx="8">
                  <c:v>0.92479999999999996</c:v>
                </c:pt>
                <c:pt idx="9">
                  <c:v>0.92047500000000004</c:v>
                </c:pt>
                <c:pt idx="10">
                  <c:v>0.94399999999999995</c:v>
                </c:pt>
                <c:pt idx="11">
                  <c:v>0.93493333333333339</c:v>
                </c:pt>
                <c:pt idx="13">
                  <c:v>0.96699999999999997</c:v>
                </c:pt>
                <c:pt idx="15">
                  <c:v>0.85</c:v>
                </c:pt>
                <c:pt idx="16">
                  <c:v>0.94</c:v>
                </c:pt>
                <c:pt idx="17">
                  <c:v>0.95</c:v>
                </c:pt>
                <c:pt idx="18">
                  <c:v>0.95799999999999996</c:v>
                </c:pt>
                <c:pt idx="19">
                  <c:v>0.97666666666666657</c:v>
                </c:pt>
                <c:pt idx="21">
                  <c:v>0.97</c:v>
                </c:pt>
                <c:pt idx="22">
                  <c:v>0.97</c:v>
                </c:pt>
                <c:pt idx="23">
                  <c:v>0.99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7EBD-4F27-A1C1-E20841A0E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86695312"/>
        <c:axId val="386695704"/>
        <c:extLst>
          <c:ext xmlns:c15="http://schemas.microsoft.com/office/drawing/2012/chart" uri="{02D57815-91ED-43cb-92C2-25804820EDAC}">
            <c15:filteredBarSeries>
              <c15:ser>
                <c:idx val="2"/>
                <c:order val="0"/>
                <c:tx>
                  <c:v>DEPARTAMENTO  CHAPA</c:v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'STR &amp; SRT + QRW ZONE'!$J$2:$CU$2</c15:sqref>
                        </c15:formulaRef>
                      </c:ext>
                    </c:extLst>
                    <c:strCache>
                      <c:ptCount val="26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  <c:pt idx="13">
                        <c:v>S43</c:v>
                      </c:pt>
                      <c:pt idx="14">
                        <c:v>S44</c:v>
                      </c:pt>
                      <c:pt idx="15">
                        <c:v>S45</c:v>
                      </c:pt>
                      <c:pt idx="16">
                        <c:v>S46</c:v>
                      </c:pt>
                      <c:pt idx="17">
                        <c:v>S47</c:v>
                      </c:pt>
                      <c:pt idx="18">
                        <c:v>S48</c:v>
                      </c:pt>
                      <c:pt idx="19">
                        <c:v>S49</c:v>
                      </c:pt>
                      <c:pt idx="21">
                        <c:v>LUN</c:v>
                      </c:pt>
                      <c:pt idx="22">
                        <c:v>MAR</c:v>
                      </c:pt>
                      <c:pt idx="23">
                        <c:v>MIE</c:v>
                      </c:pt>
                      <c:pt idx="24">
                        <c:v>JUE</c:v>
                      </c:pt>
                      <c:pt idx="25">
                        <c:v>VIE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1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>
                  <c:ext xmlns:c16="http://schemas.microsoft.com/office/drawing/2014/chart" uri="{C3380CC4-5D6E-409C-BE32-E72D297353CC}">
                    <c16:uniqueId val="{0000002E-7EBD-4F27-A1C1-E20841A0EA7E}"/>
                  </c:ext>
                </c:extLst>
              </c15:ser>
            </c15:filteredBarSeries>
            <c15:filteredBarSeries>
              <c15:ser>
                <c:idx val="0"/>
                <c:order val="1"/>
                <c:tx>
                  <c:v>DEPARTAMENTO MONTAJE VU</c:v>
                </c:tx>
                <c:spPr>
                  <a:solidFill>
                    <a:schemeClr val="accent1">
                      <a:lumMod val="60000"/>
                      <a:lumOff val="4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numFmt formatCode="#,##0.00;;;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ellipsis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lang="en-US" sz="1200" b="1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A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'STR &amp; SRT + QRW ZONE'!$J$2:$CU$2</c15:sqref>
                        </c15:formulaRef>
                      </c:ext>
                    </c:extLst>
                    <c:strCache>
                      <c:ptCount val="26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  <c:pt idx="13">
                        <c:v>S43</c:v>
                      </c:pt>
                      <c:pt idx="14">
                        <c:v>S44</c:v>
                      </c:pt>
                      <c:pt idx="15">
                        <c:v>S45</c:v>
                      </c:pt>
                      <c:pt idx="16">
                        <c:v>S46</c:v>
                      </c:pt>
                      <c:pt idx="17">
                        <c:v>S47</c:v>
                      </c:pt>
                      <c:pt idx="18">
                        <c:v>S48</c:v>
                      </c:pt>
                      <c:pt idx="19">
                        <c:v>S49</c:v>
                      </c:pt>
                      <c:pt idx="21">
                        <c:v>LUN</c:v>
                      </c:pt>
                      <c:pt idx="22">
                        <c:v>MAR</c:v>
                      </c:pt>
                      <c:pt idx="23">
                        <c:v>MIE</c:v>
                      </c:pt>
                      <c:pt idx="24">
                        <c:v>JUE</c:v>
                      </c:pt>
                      <c:pt idx="25">
                        <c:v>VIE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1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7EBD-4F27-A1C1-E20841A0EA7E}"/>
                  </c:ext>
                </c:extLst>
              </c15:ser>
            </c15:filteredBarSeries>
            <c15:filteredBarSeries>
              <c15:ser>
                <c:idx val="1"/>
                <c:order val="2"/>
                <c:tx>
                  <c:v>DEPARTAMENTO PINTURA</c:v>
                </c:tx>
                <c:spPr>
                  <a:gradFill>
                    <a:gsLst>
                      <a:gs pos="0">
                        <a:sysClr val="windowText" lastClr="000000">
                          <a:lumMod val="100000"/>
                        </a:sysClr>
                      </a:gs>
                      <a:gs pos="50000">
                        <a:srgbClr val="FF0000">
                          <a:lumMod val="100000"/>
                        </a:srgbClr>
                      </a:gs>
                      <a:gs pos="100000">
                        <a:sysClr val="windowText" lastClr="000000"/>
                      </a:gs>
                    </a:gsLst>
                    <a:lin ang="10800000" scaled="1"/>
                  </a:gradFill>
                  <a:ln>
                    <a:noFill/>
                  </a:ln>
                  <a:effectLst/>
                </c:spPr>
                <c:invertIfNegative val="0"/>
                <c:dPt>
                  <c:idx val="7"/>
                  <c:invertIfNegative val="0"/>
                  <c:bubble3D val="0"/>
                  <c:spPr>
                    <a:gradFill>
                      <a:gsLst>
                        <a:gs pos="0">
                          <a:sysClr val="windowText" lastClr="000000">
                            <a:lumMod val="100000"/>
                          </a:sysClr>
                        </a:gs>
                        <a:gs pos="50000">
                          <a:srgbClr val="FF0000">
                            <a:lumMod val="100000"/>
                          </a:srgbClr>
                        </a:gs>
                        <a:gs pos="100000">
                          <a:sysClr val="windowText" lastClr="000000"/>
                        </a:gs>
                      </a:gsLst>
                      <a:lin ang="10800000" scaled="1"/>
                    </a:gra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1-7EBD-4F27-A1C1-E20841A0EA7E}"/>
                    </c:ext>
                  </c:extLst>
                </c:dPt>
                <c:dPt>
                  <c:idx val="8"/>
                  <c:invertIfNegative val="0"/>
                  <c:bubble3D val="0"/>
                  <c:spPr>
                    <a:gradFill>
                      <a:gsLst>
                        <a:gs pos="0">
                          <a:sysClr val="windowText" lastClr="000000">
                            <a:lumMod val="100000"/>
                          </a:sysClr>
                        </a:gs>
                        <a:gs pos="50000">
                          <a:srgbClr val="FF0000">
                            <a:lumMod val="100000"/>
                          </a:srgbClr>
                        </a:gs>
                        <a:gs pos="100000">
                          <a:sysClr val="windowText" lastClr="000000"/>
                        </a:gs>
                      </a:gsLst>
                      <a:lin ang="10800000" scaled="1"/>
                    </a:gra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3-7EBD-4F27-A1C1-E20841A0EA7E}"/>
                    </c:ext>
                  </c:extLst>
                </c:dPt>
                <c:dLbls>
                  <c:numFmt formatCode="#,##0.00;;;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ellipsis" wrap="square" lIns="38100" tIns="19050" rIns="38100" bIns="19050" anchor="ctr" anchorCtr="0">
                      <a:spAutoFit/>
                    </a:bodyPr>
                    <a:lstStyle/>
                    <a:p>
                      <a:pPr algn="ctr">
                        <a:defRPr lang="en-US" sz="1600" b="1" i="0" u="none" strike="noStrike" kern="1200" baseline="0">
                          <a:solidFill>
                            <a:schemeClr val="bg1"/>
                          </a:solidFill>
                          <a:effectLst>
                            <a:glow rad="127000">
                              <a:schemeClr val="tx1"/>
                            </a:glow>
                          </a:effectLst>
                          <a:latin typeface="+mn-lt"/>
                          <a:ea typeface="+mn-ea"/>
                          <a:cs typeface="+mn-cs"/>
                        </a:defRPr>
                      </a:pPr>
                      <a:endParaRPr lang="es-AR"/>
                    </a:p>
                  </c:txPr>
                  <c:dLblPos val="inBase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0"/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'STR &amp; SRT + QRW ZONE'!$J$2:$CU$2</c15:sqref>
                        </c15:formulaRef>
                      </c:ext>
                    </c:extLst>
                    <c:strCache>
                      <c:ptCount val="26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  <c:pt idx="13">
                        <c:v>S43</c:v>
                      </c:pt>
                      <c:pt idx="14">
                        <c:v>S44</c:v>
                      </c:pt>
                      <c:pt idx="15">
                        <c:v>S45</c:v>
                      </c:pt>
                      <c:pt idx="16">
                        <c:v>S46</c:v>
                      </c:pt>
                      <c:pt idx="17">
                        <c:v>S47</c:v>
                      </c:pt>
                      <c:pt idx="18">
                        <c:v>S48</c:v>
                      </c:pt>
                      <c:pt idx="19">
                        <c:v>S49</c:v>
                      </c:pt>
                      <c:pt idx="21">
                        <c:v>LUN</c:v>
                      </c:pt>
                      <c:pt idx="22">
                        <c:v>MAR</c:v>
                      </c:pt>
                      <c:pt idx="23">
                        <c:v>MIE</c:v>
                      </c:pt>
                      <c:pt idx="24">
                        <c:v>JUE</c:v>
                      </c:pt>
                      <c:pt idx="25">
                        <c:v>VIE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0.5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7EBD-4F27-A1C1-E20841A0EA7E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v>CALIDAD DE PIEZAS</c:v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'STR &amp; SRT + QRW ZONE'!$J$2:$CU$2</c15:sqref>
                        </c15:formulaRef>
                      </c:ext>
                    </c:extLst>
                    <c:strCache>
                      <c:ptCount val="26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  <c:pt idx="13">
                        <c:v>S43</c:v>
                      </c:pt>
                      <c:pt idx="14">
                        <c:v>S44</c:v>
                      </c:pt>
                      <c:pt idx="15">
                        <c:v>S45</c:v>
                      </c:pt>
                      <c:pt idx="16">
                        <c:v>S46</c:v>
                      </c:pt>
                      <c:pt idx="17">
                        <c:v>S47</c:v>
                      </c:pt>
                      <c:pt idx="18">
                        <c:v>S48</c:v>
                      </c:pt>
                      <c:pt idx="19">
                        <c:v>S49</c:v>
                      </c:pt>
                      <c:pt idx="21">
                        <c:v>LUN</c:v>
                      </c:pt>
                      <c:pt idx="22">
                        <c:v>MAR</c:v>
                      </c:pt>
                      <c:pt idx="23">
                        <c:v>MIE</c:v>
                      </c:pt>
                      <c:pt idx="24">
                        <c:v>JUE</c:v>
                      </c:pt>
                      <c:pt idx="25">
                        <c:v>VIE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0.01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7EBD-4F27-A1C1-E20841A0EA7E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v>DIRECCION ADJUNTA TECNICA</c:v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'STR &amp; SRT + QRW ZONE'!$J$2:$CU$2</c15:sqref>
                        </c15:formulaRef>
                      </c:ext>
                    </c:extLst>
                    <c:strCache>
                      <c:ptCount val="26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  <c:pt idx="13">
                        <c:v>S43</c:v>
                      </c:pt>
                      <c:pt idx="14">
                        <c:v>S44</c:v>
                      </c:pt>
                      <c:pt idx="15">
                        <c:v>S45</c:v>
                      </c:pt>
                      <c:pt idx="16">
                        <c:v>S46</c:v>
                      </c:pt>
                      <c:pt idx="17">
                        <c:v>S47</c:v>
                      </c:pt>
                      <c:pt idx="18">
                        <c:v>S48</c:v>
                      </c:pt>
                      <c:pt idx="19">
                        <c:v>S49</c:v>
                      </c:pt>
                      <c:pt idx="21">
                        <c:v>LUN</c:v>
                      </c:pt>
                      <c:pt idx="22">
                        <c:v>MAR</c:v>
                      </c:pt>
                      <c:pt idx="23">
                        <c:v>MIE</c:v>
                      </c:pt>
                      <c:pt idx="24">
                        <c:v>JUE</c:v>
                      </c:pt>
                      <c:pt idx="25">
                        <c:v>VIE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0.01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7EBD-4F27-A1C1-E20841A0EA7E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v>DEPARTAMENTO LOGISTICA INDUSTRIAL</c:v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'STR &amp; SRT + QRW ZONE'!$J$2:$CU$2</c15:sqref>
                        </c15:formulaRef>
                      </c:ext>
                    </c:extLst>
                    <c:strCache>
                      <c:ptCount val="26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  <c:pt idx="13">
                        <c:v>S43</c:v>
                      </c:pt>
                      <c:pt idx="14">
                        <c:v>S44</c:v>
                      </c:pt>
                      <c:pt idx="15">
                        <c:v>S45</c:v>
                      </c:pt>
                      <c:pt idx="16">
                        <c:v>S46</c:v>
                      </c:pt>
                      <c:pt idx="17">
                        <c:v>S47</c:v>
                      </c:pt>
                      <c:pt idx="18">
                        <c:v>S48</c:v>
                      </c:pt>
                      <c:pt idx="19">
                        <c:v>S49</c:v>
                      </c:pt>
                      <c:pt idx="21">
                        <c:v>LUN</c:v>
                      </c:pt>
                      <c:pt idx="22">
                        <c:v>MAR</c:v>
                      </c:pt>
                      <c:pt idx="23">
                        <c:v>MIE</c:v>
                      </c:pt>
                      <c:pt idx="24">
                        <c:v>JUE</c:v>
                      </c:pt>
                      <c:pt idx="25">
                        <c:v>VIE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0.2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7EBD-4F27-A1C1-E20841A0EA7E}"/>
                  </c:ext>
                </c:extLst>
              </c15:ser>
            </c15:filteredBarSeries>
          </c:ext>
        </c:extLst>
      </c:barChart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386696488"/>
        <c:axId val="386696096"/>
        <c:extLst>
          <c:ext xmlns:c15="http://schemas.microsoft.com/office/drawing/2012/chart" uri="{02D57815-91ED-43cb-92C2-25804820EDAC}">
            <c15:filteredBarSeries>
              <c15:ser>
                <c:idx val="7"/>
                <c:order val="7"/>
                <c:tx>
                  <c:v>Trayectoria</c:v>
                </c:tx>
                <c:spPr>
                  <a:noFill/>
                  <a:ln w="22225">
                    <a:solidFill>
                      <a:schemeClr val="tx1"/>
                    </a:solidFill>
                    <a:prstDash val="sysDash"/>
                  </a:ln>
                  <a:effectLst/>
                </c:spPr>
                <c:invertIfNegative val="0"/>
                <c:dLbls>
                  <c:dLbl>
                    <c:idx val="3"/>
                    <c:layout>
                      <c:manualLayout>
                        <c:x val="-1.3909394436840963E-3"/>
                        <c:y val="-0.24768553930758655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38-7EBD-4F27-A1C1-E20841A0EA7E}"/>
                      </c:ext>
                    </c:extLst>
                  </c:dLbl>
                  <c:dLbl>
                    <c:idx val="4"/>
                    <c:layout>
                      <c:manualLayout>
                        <c:x val="0"/>
                        <c:y val="-7.954555680539932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39-7EBD-4F27-A1C1-E20841A0EA7E}"/>
                      </c:ext>
                    </c:extLst>
                  </c:dLbl>
                  <c:dLbl>
                    <c:idx val="6"/>
                    <c:layout>
                      <c:manualLayout>
                        <c:x val="0"/>
                        <c:y val="-2.443281245911837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3A-7EBD-4F27-A1C1-E20841A0EA7E}"/>
                      </c:ext>
                    </c:extLst>
                  </c:dLbl>
                  <c:dLbl>
                    <c:idx val="7"/>
                    <c:layout>
                      <c:manualLayout>
                        <c:x val="0"/>
                        <c:y val="-6.3525312393707692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3B-7EBD-4F27-A1C1-E20841A0EA7E}"/>
                      </c:ext>
                    </c:extLst>
                  </c:dLbl>
                  <c:dLbl>
                    <c:idx val="10"/>
                    <c:layout>
                      <c:manualLayout>
                        <c:x val="2.7819171878015339E-3"/>
                        <c:y val="-1.4659687475471085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3C-7EBD-4F27-A1C1-E20841A0EA7E}"/>
                      </c:ext>
                    </c:extLst>
                  </c:dLbl>
                  <c:dLbl>
                    <c:idx val="11"/>
                    <c:layout>
                      <c:manualLayout>
                        <c:x val="2.781917187801432E-3"/>
                        <c:y val="-1.4659687475470995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3D-7EBD-4F27-A1C1-E20841A0EA7E}"/>
                      </c:ext>
                    </c:extLst>
                  </c:dLbl>
                  <c:dLbl>
                    <c:idx val="12"/>
                    <c:layout>
                      <c:manualLayout>
                        <c:x val="2.781917187801432E-3"/>
                        <c:y val="1.9546249967294659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3E-7EBD-4F27-A1C1-E20841A0EA7E}"/>
                      </c:ext>
                    </c:extLst>
                  </c:dLbl>
                  <c:numFmt formatCode="#,##0.0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0">
                      <a:spAutoFit/>
                    </a:bodyPr>
                    <a:lstStyle/>
                    <a:p>
                      <a:pPr algn="ctr">
                        <a:defRPr lang="en-US" sz="1000" b="1" i="1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A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0"/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'STR &amp; SRT + QRW ZONE'!$J$2:$BF$2</c15:sqref>
                        </c15:formulaRef>
                      </c:ext>
                    </c:extLst>
                    <c:strCache>
                      <c:ptCount val="12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0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>
                  <c:ext xmlns:c16="http://schemas.microsoft.com/office/drawing/2014/chart" uri="{C3380CC4-5D6E-409C-BE32-E72D297353CC}">
                    <c16:uniqueId val="{0000003F-7EBD-4F27-A1C1-E20841A0EA7E}"/>
                  </c:ext>
                </c:extLst>
              </c15:ser>
            </c15:filteredBarSeries>
          </c:ext>
        </c:extLst>
      </c:barChart>
      <c:lineChart>
        <c:grouping val="stacked"/>
        <c:varyColors val="0"/>
        <c:ser>
          <c:idx val="8"/>
          <c:order val="8"/>
          <c:tx>
            <c:strRef>
              <c:f>'STR &amp; SRT + QRW ZONE'!$A$22</c:f>
              <c:strCache>
                <c:ptCount val="1"/>
                <c:pt idx="0">
                  <c:v>TARGET</c:v>
                </c:pt>
              </c:strCache>
            </c:strRef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5B9BD5">
                  <a:lumMod val="50000"/>
                </a:srgbClr>
              </a:solidFill>
              <a:ln w="9525">
                <a:solidFill>
                  <a:srgbClr val="5B9BD5">
                    <a:lumMod val="50000"/>
                  </a:srgbClr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rgbClr val="5B9BD5">
                    <a:lumMod val="50000"/>
                  </a:srgbClr>
                </a:solidFill>
                <a:ln w="9525">
                  <a:solidFill>
                    <a:srgbClr val="5B9BD5">
                      <a:lumMod val="50000"/>
                    </a:srgbClr>
                  </a:solidFill>
                </a:ln>
                <a:effectLst/>
              </c:spPr>
            </c:marker>
            <c:bubble3D val="0"/>
            <c:spPr>
              <a:ln w="25400" cap="rnd">
                <a:solidFill>
                  <a:srgbClr val="5B9BD5">
                    <a:lumMod val="50000"/>
                  </a:srgb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7EBD-4F27-A1C1-E20841A0EA7E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7EBD-4F27-A1C1-E20841A0EA7E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7EBD-4F27-A1C1-E20841A0EA7E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7EBD-4F27-A1C1-E20841A0EA7E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7EBD-4F27-A1C1-E20841A0EA7E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7EBD-4F27-A1C1-E20841A0EA7E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7EBD-4F27-A1C1-E20841A0EA7E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AA82-4411-B7A4-153877FD7EB6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7EBD-4F27-A1C1-E20841A0EA7E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7EBD-4F27-A1C1-E20841A0EA7E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AA82-4411-B7A4-153877FD7EB6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D818-4B49-BD2D-039AC53BB423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F25C-432C-9092-4B5C4B37C4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5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'STR &amp; SRT + QRW ZONE'!$J$2:$CU$2</c:f>
              <c:strCache>
                <c:ptCount val="26"/>
                <c:pt idx="1">
                  <c:v>ENE</c:v>
                </c:pt>
                <c:pt idx="2">
                  <c:v>FEB</c:v>
                </c:pt>
                <c:pt idx="3">
                  <c:v>MAR</c:v>
                </c:pt>
                <c:pt idx="4">
                  <c:v>ABR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SEPT</c:v>
                </c:pt>
                <c:pt idx="10">
                  <c:v>OCT</c:v>
                </c:pt>
                <c:pt idx="11">
                  <c:v>NOV</c:v>
                </c:pt>
                <c:pt idx="13">
                  <c:v>S43</c:v>
                </c:pt>
                <c:pt idx="14">
                  <c:v>S44</c:v>
                </c:pt>
                <c:pt idx="15">
                  <c:v>S45</c:v>
                </c:pt>
                <c:pt idx="16">
                  <c:v>S46</c:v>
                </c:pt>
                <c:pt idx="17">
                  <c:v>S47</c:v>
                </c:pt>
                <c:pt idx="18">
                  <c:v>S48</c:v>
                </c:pt>
                <c:pt idx="19">
                  <c:v>S49</c:v>
                </c:pt>
                <c:pt idx="21">
                  <c:v>LUN</c:v>
                </c:pt>
                <c:pt idx="22">
                  <c:v>MAR</c:v>
                </c:pt>
                <c:pt idx="23">
                  <c:v>MIE</c:v>
                </c:pt>
                <c:pt idx="24">
                  <c:v>JUE</c:v>
                </c:pt>
                <c:pt idx="25">
                  <c:v>VIE</c:v>
                </c:pt>
              </c:strCache>
            </c:strRef>
          </c:cat>
          <c:val>
            <c:numRef>
              <c:f>'STR &amp; SRT + QRW ZONE'!$P$22:$CU$22</c:f>
              <c:numCache>
                <c:formatCode>0%</c:formatCode>
                <c:ptCount val="25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0.85</c:v>
                </c:pt>
                <c:pt idx="4">
                  <c:v>0.9</c:v>
                </c:pt>
                <c:pt idx="5">
                  <c:v>0.93</c:v>
                </c:pt>
                <c:pt idx="6">
                  <c:v>0.93</c:v>
                </c:pt>
                <c:pt idx="7">
                  <c:v>0.94</c:v>
                </c:pt>
                <c:pt idx="8">
                  <c:v>0.94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0.94</c:v>
                </c:pt>
                <c:pt idx="13">
                  <c:v>0.94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7EBD-4F27-A1C1-E20841A0E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6695312"/>
        <c:axId val="386695704"/>
        <c:extLst/>
      </c:lineChart>
      <c:catAx>
        <c:axId val="386695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386695704"/>
        <c:crosses val="autoZero"/>
        <c:auto val="1"/>
        <c:lblAlgn val="ctr"/>
        <c:lblOffset val="100"/>
        <c:noMultiLvlLbl val="0"/>
      </c:catAx>
      <c:valAx>
        <c:axId val="386695704"/>
        <c:scaling>
          <c:orientation val="minMax"/>
          <c:max val="1"/>
        </c:scaling>
        <c:delete val="1"/>
        <c:axPos val="l"/>
        <c:numFmt formatCode="0" sourceLinked="1"/>
        <c:majorTickMark val="out"/>
        <c:minorTickMark val="none"/>
        <c:tickLblPos val="nextTo"/>
        <c:crossAx val="386695312"/>
        <c:crosses val="autoZero"/>
        <c:crossBetween val="between"/>
      </c:valAx>
      <c:valAx>
        <c:axId val="386696096"/>
        <c:scaling>
          <c:orientation val="minMax"/>
          <c:max val="10"/>
        </c:scaling>
        <c:delete val="1"/>
        <c:axPos val="r"/>
        <c:numFmt formatCode="0.00" sourceLinked="1"/>
        <c:majorTickMark val="out"/>
        <c:minorTickMark val="none"/>
        <c:tickLblPos val="nextTo"/>
        <c:crossAx val="386696488"/>
        <c:crosses val="max"/>
        <c:crossBetween val="between"/>
      </c:valAx>
      <c:catAx>
        <c:axId val="38669648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86696096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7830522257742605"/>
          <c:y val="0.8877260796945835"/>
          <c:w val="0.25744489981240964"/>
          <c:h val="0.10959341445955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6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 algn="ctr">
        <a:defRPr lang="en-US" sz="1000" b="1" i="0" u="none" strike="noStrike" kern="1200" baseline="0">
          <a:solidFill>
            <a:sysClr val="windowText" lastClr="000000"/>
          </a:solidFill>
          <a:latin typeface="+mn-lt"/>
          <a:ea typeface="+mn-ea"/>
          <a:cs typeface="+mn-cs"/>
        </a:defRPr>
      </a:pPr>
      <a:endParaRPr lang="es-AR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STR VP X67-X52</a:t>
            </a:r>
            <a:r>
              <a:rPr lang="en-US" sz="1800" baseline="0"/>
              <a:t> + RTR1</a:t>
            </a:r>
            <a:endParaRPr lang="en-US" sz="1800"/>
          </a:p>
        </c:rich>
      </c:tx>
      <c:layout>
        <c:manualLayout>
          <c:xMode val="edge"/>
          <c:yMode val="edge"/>
          <c:x val="0.3166863601564246"/>
          <c:y val="3.030303030303030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5.5286943216290511E-2"/>
          <c:y val="0.20786002526397968"/>
          <c:w val="0.9457221422804557"/>
          <c:h val="0.51204123197140361"/>
        </c:manualLayout>
      </c:layout>
      <c:barChart>
        <c:barDir val="col"/>
        <c:grouping val="clustered"/>
        <c:varyColors val="0"/>
        <c:ser>
          <c:idx val="6"/>
          <c:order val="6"/>
          <c:tx>
            <c:strRef>
              <c:f>'STR &amp; SRT + QRW ZONE'!$A$14</c:f>
              <c:strCache>
                <c:ptCount val="1"/>
                <c:pt idx="0">
                  <c:v>STR(+RTR1)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>
              <a:outerShdw blurRad="50800" dist="38100" dir="2700000" algn="tl" rotWithShape="0">
                <a:sysClr val="windowText" lastClr="000000">
                  <a:alpha val="40000"/>
                </a:sysClr>
              </a:outerShdw>
            </a:effectLst>
          </c:spPr>
          <c:invertIfNegative val="0"/>
          <c:dPt>
            <c:idx val="2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0800" dist="38100" dir="2700000" algn="tl" rotWithShape="0">
                  <a:sysClr val="windowText" lastClr="000000">
                    <a:alpha val="40000"/>
                  </a:sys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9CE-457B-88D4-BC074A479E7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n-US" sz="18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'STR &amp; SRT + QRW ZONE'!$J$2:$CU$2</c:f>
              <c:strCache>
                <c:ptCount val="26"/>
                <c:pt idx="1">
                  <c:v>ENE</c:v>
                </c:pt>
                <c:pt idx="2">
                  <c:v>FEB</c:v>
                </c:pt>
                <c:pt idx="3">
                  <c:v>MAR</c:v>
                </c:pt>
                <c:pt idx="4">
                  <c:v>ABR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SEPT</c:v>
                </c:pt>
                <c:pt idx="10">
                  <c:v>OCT</c:v>
                </c:pt>
                <c:pt idx="11">
                  <c:v>NOV</c:v>
                </c:pt>
                <c:pt idx="13">
                  <c:v>S43</c:v>
                </c:pt>
                <c:pt idx="14">
                  <c:v>S44</c:v>
                </c:pt>
                <c:pt idx="15">
                  <c:v>S45</c:v>
                </c:pt>
                <c:pt idx="16">
                  <c:v>S46</c:v>
                </c:pt>
                <c:pt idx="17">
                  <c:v>S47</c:v>
                </c:pt>
                <c:pt idx="18">
                  <c:v>S48</c:v>
                </c:pt>
                <c:pt idx="19">
                  <c:v>S49</c:v>
                </c:pt>
                <c:pt idx="21">
                  <c:v>LUN</c:v>
                </c:pt>
                <c:pt idx="22">
                  <c:v>MAR</c:v>
                </c:pt>
                <c:pt idx="23">
                  <c:v>MIE</c:v>
                </c:pt>
                <c:pt idx="24">
                  <c:v>JUE</c:v>
                </c:pt>
                <c:pt idx="25">
                  <c:v>VIE</c:v>
                </c:pt>
              </c:strCache>
            </c:strRef>
          </c:cat>
          <c:val>
            <c:numRef>
              <c:f>'STR &amp; SRT + QRW ZONE'!$J$14:$CU$14</c:f>
              <c:numCache>
                <c:formatCode>0.00</c:formatCode>
                <c:ptCount val="26"/>
                <c:pt idx="4" formatCode="0%">
                  <c:v>0.53</c:v>
                </c:pt>
                <c:pt idx="5" formatCode="0%">
                  <c:v>0.56999999999999995</c:v>
                </c:pt>
                <c:pt idx="6" formatCode="0%">
                  <c:v>0.41533333333333333</c:v>
                </c:pt>
                <c:pt idx="7" formatCode="0%">
                  <c:v>0.8</c:v>
                </c:pt>
                <c:pt idx="8" formatCode="0%">
                  <c:v>0.55000000000000004</c:v>
                </c:pt>
                <c:pt idx="9" formatCode="0%">
                  <c:v>0.39097499999999996</c:v>
                </c:pt>
                <c:pt idx="10" formatCode="0%">
                  <c:v>0.37309999999999999</c:v>
                </c:pt>
                <c:pt idx="11" formatCode="0%">
                  <c:v>0.85</c:v>
                </c:pt>
                <c:pt idx="13" formatCode="0%">
                  <c:v>0.43580000000000002</c:v>
                </c:pt>
                <c:pt idx="15" formatCode="0%">
                  <c:v>0.85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E6-4A76-856C-CAF295DBD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626603904"/>
        <c:axId val="626604296"/>
        <c:extLst>
          <c:ext xmlns:c15="http://schemas.microsoft.com/office/drawing/2012/chart" uri="{02D57815-91ED-43cb-92C2-25804820EDAC}">
            <c15:filteredBarSeries>
              <c15:ser>
                <c:idx val="2"/>
                <c:order val="0"/>
                <c:tx>
                  <c:v>DEPARTAMENTO  CHAPA</c:v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'STR &amp; SRT + QRW ZONE'!$J$2:$CU$2</c15:sqref>
                        </c15:formulaRef>
                      </c:ext>
                    </c:extLst>
                    <c:strCache>
                      <c:ptCount val="26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  <c:pt idx="13">
                        <c:v>S43</c:v>
                      </c:pt>
                      <c:pt idx="14">
                        <c:v>S44</c:v>
                      </c:pt>
                      <c:pt idx="15">
                        <c:v>S45</c:v>
                      </c:pt>
                      <c:pt idx="16">
                        <c:v>S46</c:v>
                      </c:pt>
                      <c:pt idx="17">
                        <c:v>S47</c:v>
                      </c:pt>
                      <c:pt idx="18">
                        <c:v>S48</c:v>
                      </c:pt>
                      <c:pt idx="19">
                        <c:v>S49</c:v>
                      </c:pt>
                      <c:pt idx="21">
                        <c:v>LUN</c:v>
                      </c:pt>
                      <c:pt idx="22">
                        <c:v>MAR</c:v>
                      </c:pt>
                      <c:pt idx="23">
                        <c:v>MIE</c:v>
                      </c:pt>
                      <c:pt idx="24">
                        <c:v>JUE</c:v>
                      </c:pt>
                      <c:pt idx="25">
                        <c:v>VIE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1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>
                  <c:ext xmlns:c16="http://schemas.microsoft.com/office/drawing/2014/chart" uri="{C3380CC4-5D6E-409C-BE32-E72D297353CC}">
                    <c16:uniqueId val="{00000012-CDE6-4A76-856C-CAF295DBD02B}"/>
                  </c:ext>
                </c:extLst>
              </c15:ser>
            </c15:filteredBarSeries>
            <c15:filteredBarSeries>
              <c15:ser>
                <c:idx val="0"/>
                <c:order val="1"/>
                <c:tx>
                  <c:v>DEPARTAMENTO MONTAJE VU</c:v>
                </c:tx>
                <c:spPr>
                  <a:solidFill>
                    <a:schemeClr val="accent1">
                      <a:lumMod val="60000"/>
                      <a:lumOff val="4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numFmt formatCode="#,##0.00;;;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ellipsis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lang="en-US" sz="1200" b="1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A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'STR &amp; SRT + QRW ZONE'!$J$2:$CU$2</c15:sqref>
                        </c15:formulaRef>
                      </c:ext>
                    </c:extLst>
                    <c:strCache>
                      <c:ptCount val="26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  <c:pt idx="13">
                        <c:v>S43</c:v>
                      </c:pt>
                      <c:pt idx="14">
                        <c:v>S44</c:v>
                      </c:pt>
                      <c:pt idx="15">
                        <c:v>S45</c:v>
                      </c:pt>
                      <c:pt idx="16">
                        <c:v>S46</c:v>
                      </c:pt>
                      <c:pt idx="17">
                        <c:v>S47</c:v>
                      </c:pt>
                      <c:pt idx="18">
                        <c:v>S48</c:v>
                      </c:pt>
                      <c:pt idx="19">
                        <c:v>S49</c:v>
                      </c:pt>
                      <c:pt idx="21">
                        <c:v>LUN</c:v>
                      </c:pt>
                      <c:pt idx="22">
                        <c:v>MAR</c:v>
                      </c:pt>
                      <c:pt idx="23">
                        <c:v>MIE</c:v>
                      </c:pt>
                      <c:pt idx="24">
                        <c:v>JUE</c:v>
                      </c:pt>
                      <c:pt idx="25">
                        <c:v>VIE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1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CDE6-4A76-856C-CAF295DBD02B}"/>
                  </c:ext>
                </c:extLst>
              </c15:ser>
            </c15:filteredBarSeries>
            <c15:filteredBarSeries>
              <c15:ser>
                <c:idx val="1"/>
                <c:order val="2"/>
                <c:tx>
                  <c:v>DEPARTAMENTO PINTURA</c:v>
                </c:tx>
                <c:spPr>
                  <a:gradFill>
                    <a:gsLst>
                      <a:gs pos="0">
                        <a:sysClr val="windowText" lastClr="000000">
                          <a:lumMod val="100000"/>
                        </a:sysClr>
                      </a:gs>
                      <a:gs pos="50000">
                        <a:srgbClr val="FF0000">
                          <a:lumMod val="100000"/>
                        </a:srgbClr>
                      </a:gs>
                      <a:gs pos="100000">
                        <a:sysClr val="windowText" lastClr="000000"/>
                      </a:gs>
                    </a:gsLst>
                    <a:lin ang="10800000" scaled="1"/>
                  </a:gradFill>
                  <a:ln>
                    <a:noFill/>
                  </a:ln>
                  <a:effectLst/>
                </c:spPr>
                <c:invertIfNegative val="0"/>
                <c:dPt>
                  <c:idx val="7"/>
                  <c:invertIfNegative val="0"/>
                  <c:bubble3D val="0"/>
                  <c:spPr>
                    <a:gradFill>
                      <a:gsLst>
                        <a:gs pos="0">
                          <a:sysClr val="windowText" lastClr="000000">
                            <a:lumMod val="100000"/>
                          </a:sysClr>
                        </a:gs>
                        <a:gs pos="50000">
                          <a:srgbClr val="FF0000">
                            <a:lumMod val="100000"/>
                          </a:srgbClr>
                        </a:gs>
                        <a:gs pos="100000">
                          <a:sysClr val="windowText" lastClr="000000"/>
                        </a:gs>
                      </a:gsLst>
                      <a:lin ang="10800000" scaled="1"/>
                    </a:gra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5-CDE6-4A76-856C-CAF295DBD02B}"/>
                    </c:ext>
                  </c:extLst>
                </c:dPt>
                <c:dPt>
                  <c:idx val="8"/>
                  <c:invertIfNegative val="0"/>
                  <c:bubble3D val="0"/>
                  <c:spPr>
                    <a:gradFill>
                      <a:gsLst>
                        <a:gs pos="0">
                          <a:sysClr val="windowText" lastClr="000000">
                            <a:lumMod val="100000"/>
                          </a:sysClr>
                        </a:gs>
                        <a:gs pos="50000">
                          <a:srgbClr val="FF0000">
                            <a:lumMod val="100000"/>
                          </a:srgbClr>
                        </a:gs>
                        <a:gs pos="100000">
                          <a:sysClr val="windowText" lastClr="000000"/>
                        </a:gs>
                      </a:gsLst>
                      <a:lin ang="10800000" scaled="1"/>
                    </a:gra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7-CDE6-4A76-856C-CAF295DBD02B}"/>
                    </c:ext>
                  </c:extLst>
                </c:dPt>
                <c:dLbls>
                  <c:numFmt formatCode="#,##0.00;;;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ellipsis" wrap="square" lIns="38100" tIns="19050" rIns="38100" bIns="19050" anchor="ctr" anchorCtr="0">
                      <a:spAutoFit/>
                    </a:bodyPr>
                    <a:lstStyle/>
                    <a:p>
                      <a:pPr algn="ctr">
                        <a:defRPr lang="en-US" sz="1600" b="1" i="0" u="none" strike="noStrike" kern="1200" baseline="0">
                          <a:solidFill>
                            <a:schemeClr val="bg1"/>
                          </a:solidFill>
                          <a:effectLst>
                            <a:glow rad="127000">
                              <a:schemeClr val="tx1"/>
                            </a:glow>
                          </a:effectLst>
                          <a:latin typeface="+mn-lt"/>
                          <a:ea typeface="+mn-ea"/>
                          <a:cs typeface="+mn-cs"/>
                        </a:defRPr>
                      </a:pPr>
                      <a:endParaRPr lang="es-AR"/>
                    </a:p>
                  </c:txPr>
                  <c:dLblPos val="inBase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0"/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'STR &amp; SRT + QRW ZONE'!$J$2:$CU$2</c15:sqref>
                        </c15:formulaRef>
                      </c:ext>
                    </c:extLst>
                    <c:strCache>
                      <c:ptCount val="26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  <c:pt idx="13">
                        <c:v>S43</c:v>
                      </c:pt>
                      <c:pt idx="14">
                        <c:v>S44</c:v>
                      </c:pt>
                      <c:pt idx="15">
                        <c:v>S45</c:v>
                      </c:pt>
                      <c:pt idx="16">
                        <c:v>S46</c:v>
                      </c:pt>
                      <c:pt idx="17">
                        <c:v>S47</c:v>
                      </c:pt>
                      <c:pt idx="18">
                        <c:v>S48</c:v>
                      </c:pt>
                      <c:pt idx="19">
                        <c:v>S49</c:v>
                      </c:pt>
                      <c:pt idx="21">
                        <c:v>LUN</c:v>
                      </c:pt>
                      <c:pt idx="22">
                        <c:v>MAR</c:v>
                      </c:pt>
                      <c:pt idx="23">
                        <c:v>MIE</c:v>
                      </c:pt>
                      <c:pt idx="24">
                        <c:v>JUE</c:v>
                      </c:pt>
                      <c:pt idx="25">
                        <c:v>VIE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0.5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CDE6-4A76-856C-CAF295DBD02B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v>CALIDAD DE PIEZAS</c:v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'STR &amp; SRT + QRW ZONE'!$J$2:$CU$2</c15:sqref>
                        </c15:formulaRef>
                      </c:ext>
                    </c:extLst>
                    <c:strCache>
                      <c:ptCount val="26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  <c:pt idx="13">
                        <c:v>S43</c:v>
                      </c:pt>
                      <c:pt idx="14">
                        <c:v>S44</c:v>
                      </c:pt>
                      <c:pt idx="15">
                        <c:v>S45</c:v>
                      </c:pt>
                      <c:pt idx="16">
                        <c:v>S46</c:v>
                      </c:pt>
                      <c:pt idx="17">
                        <c:v>S47</c:v>
                      </c:pt>
                      <c:pt idx="18">
                        <c:v>S48</c:v>
                      </c:pt>
                      <c:pt idx="19">
                        <c:v>S49</c:v>
                      </c:pt>
                      <c:pt idx="21">
                        <c:v>LUN</c:v>
                      </c:pt>
                      <c:pt idx="22">
                        <c:v>MAR</c:v>
                      </c:pt>
                      <c:pt idx="23">
                        <c:v>MIE</c:v>
                      </c:pt>
                      <c:pt idx="24">
                        <c:v>JUE</c:v>
                      </c:pt>
                      <c:pt idx="25">
                        <c:v>VIE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0.01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CDE6-4A76-856C-CAF295DBD02B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v>DIRECCION ADJUNTA TECNICA</c:v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'STR &amp; SRT + QRW ZONE'!$J$2:$CU$2</c15:sqref>
                        </c15:formulaRef>
                      </c:ext>
                    </c:extLst>
                    <c:strCache>
                      <c:ptCount val="26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  <c:pt idx="13">
                        <c:v>S43</c:v>
                      </c:pt>
                      <c:pt idx="14">
                        <c:v>S44</c:v>
                      </c:pt>
                      <c:pt idx="15">
                        <c:v>S45</c:v>
                      </c:pt>
                      <c:pt idx="16">
                        <c:v>S46</c:v>
                      </c:pt>
                      <c:pt idx="17">
                        <c:v>S47</c:v>
                      </c:pt>
                      <c:pt idx="18">
                        <c:v>S48</c:v>
                      </c:pt>
                      <c:pt idx="19">
                        <c:v>S49</c:v>
                      </c:pt>
                      <c:pt idx="21">
                        <c:v>LUN</c:v>
                      </c:pt>
                      <c:pt idx="22">
                        <c:v>MAR</c:v>
                      </c:pt>
                      <c:pt idx="23">
                        <c:v>MIE</c:v>
                      </c:pt>
                      <c:pt idx="24">
                        <c:v>JUE</c:v>
                      </c:pt>
                      <c:pt idx="25">
                        <c:v>VIE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0.01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CDE6-4A76-856C-CAF295DBD02B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v>DEPARTAMENTO LOGISTICA INDUSTRIAL</c:v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'STR &amp; SRT + QRW ZONE'!$J$2:$CU$2</c15:sqref>
                        </c15:formulaRef>
                      </c:ext>
                    </c:extLst>
                    <c:strCache>
                      <c:ptCount val="26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  <c:pt idx="13">
                        <c:v>S43</c:v>
                      </c:pt>
                      <c:pt idx="14">
                        <c:v>S44</c:v>
                      </c:pt>
                      <c:pt idx="15">
                        <c:v>S45</c:v>
                      </c:pt>
                      <c:pt idx="16">
                        <c:v>S46</c:v>
                      </c:pt>
                      <c:pt idx="17">
                        <c:v>S47</c:v>
                      </c:pt>
                      <c:pt idx="18">
                        <c:v>S48</c:v>
                      </c:pt>
                      <c:pt idx="19">
                        <c:v>S49</c:v>
                      </c:pt>
                      <c:pt idx="21">
                        <c:v>LUN</c:v>
                      </c:pt>
                      <c:pt idx="22">
                        <c:v>MAR</c:v>
                      </c:pt>
                      <c:pt idx="23">
                        <c:v>MIE</c:v>
                      </c:pt>
                      <c:pt idx="24">
                        <c:v>JUE</c:v>
                      </c:pt>
                      <c:pt idx="25">
                        <c:v>VIE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0.2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CDE6-4A76-856C-CAF295DBD02B}"/>
                  </c:ext>
                </c:extLst>
              </c15:ser>
            </c15:filteredBarSeries>
          </c:ext>
        </c:extLst>
      </c:barChart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626605080"/>
        <c:axId val="626604688"/>
        <c:extLst>
          <c:ext xmlns:c15="http://schemas.microsoft.com/office/drawing/2012/chart" uri="{02D57815-91ED-43cb-92C2-25804820EDAC}">
            <c15:filteredBarSeries>
              <c15:ser>
                <c:idx val="7"/>
                <c:order val="7"/>
                <c:tx>
                  <c:v>Trayectoria</c:v>
                </c:tx>
                <c:spPr>
                  <a:noFill/>
                  <a:ln w="22225">
                    <a:solidFill>
                      <a:schemeClr val="tx1"/>
                    </a:solidFill>
                    <a:prstDash val="sysDash"/>
                  </a:ln>
                  <a:effectLst/>
                </c:spPr>
                <c:invertIfNegative val="0"/>
                <c:dLbls>
                  <c:dLbl>
                    <c:idx val="3"/>
                    <c:layout>
                      <c:manualLayout>
                        <c:x val="-1.3909394436840963E-3"/>
                        <c:y val="-0.24768553930758655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1C-CDE6-4A76-856C-CAF295DBD02B}"/>
                      </c:ext>
                    </c:extLst>
                  </c:dLbl>
                  <c:dLbl>
                    <c:idx val="4"/>
                    <c:layout>
                      <c:manualLayout>
                        <c:x val="0"/>
                        <c:y val="-7.954555680539932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1D-CDE6-4A76-856C-CAF295DBD02B}"/>
                      </c:ext>
                    </c:extLst>
                  </c:dLbl>
                  <c:dLbl>
                    <c:idx val="6"/>
                    <c:layout>
                      <c:manualLayout>
                        <c:x val="0"/>
                        <c:y val="-2.443281245911837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1E-CDE6-4A76-856C-CAF295DBD02B}"/>
                      </c:ext>
                    </c:extLst>
                  </c:dLbl>
                  <c:dLbl>
                    <c:idx val="7"/>
                    <c:layout>
                      <c:manualLayout>
                        <c:x val="0"/>
                        <c:y val="-6.3525312393707692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1F-CDE6-4A76-856C-CAF295DBD02B}"/>
                      </c:ext>
                    </c:extLst>
                  </c:dLbl>
                  <c:dLbl>
                    <c:idx val="10"/>
                    <c:layout>
                      <c:manualLayout>
                        <c:x val="2.7819171878015339E-3"/>
                        <c:y val="-1.4659687475471085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20-CDE6-4A76-856C-CAF295DBD02B}"/>
                      </c:ext>
                    </c:extLst>
                  </c:dLbl>
                  <c:dLbl>
                    <c:idx val="11"/>
                    <c:layout>
                      <c:manualLayout>
                        <c:x val="2.781917187801432E-3"/>
                        <c:y val="-1.4659687475470995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21-CDE6-4A76-856C-CAF295DBD02B}"/>
                      </c:ext>
                    </c:extLst>
                  </c:dLbl>
                  <c:dLbl>
                    <c:idx val="12"/>
                    <c:layout>
                      <c:manualLayout>
                        <c:x val="2.781917187801432E-3"/>
                        <c:y val="1.9546249967294659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22-CDE6-4A76-856C-CAF295DBD02B}"/>
                      </c:ext>
                    </c:extLst>
                  </c:dLbl>
                  <c:numFmt formatCode="#,##0.0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0">
                      <a:spAutoFit/>
                    </a:bodyPr>
                    <a:lstStyle/>
                    <a:p>
                      <a:pPr algn="ctr">
                        <a:defRPr lang="en-US" sz="1000" b="1" i="1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A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0"/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'STR &amp; SRT + QRW ZONE'!$J$2:$BF$2</c15:sqref>
                        </c15:formulaRef>
                      </c:ext>
                    </c:extLst>
                    <c:strCache>
                      <c:ptCount val="12"/>
                      <c:pt idx="1">
                        <c:v>ENE</c:v>
                      </c:pt>
                      <c:pt idx="2">
                        <c:v>FEB</c:v>
                      </c:pt>
                      <c:pt idx="3">
                        <c:v>MAR</c:v>
                      </c:pt>
                      <c:pt idx="4">
                        <c:v>ABR</c:v>
                      </c:pt>
                      <c:pt idx="5">
                        <c:v>MAY</c:v>
                      </c:pt>
                      <c:pt idx="6">
                        <c:v>JUN</c:v>
                      </c:pt>
                      <c:pt idx="7">
                        <c:v>JUL</c:v>
                      </c:pt>
                      <c:pt idx="8">
                        <c:v>AGO</c:v>
                      </c:pt>
                      <c:pt idx="9">
                        <c:v>SEPT</c:v>
                      </c:pt>
                      <c:pt idx="10">
                        <c:v>OCT</c:v>
                      </c:pt>
                      <c:pt idx="11">
                        <c:v>NOV</c:v>
                      </c:pt>
                    </c:strCache>
                  </c:strRef>
                </c:cat>
                <c:val>
                  <c:numLit>
                    <c:formatCode>General</c:formatCode>
                    <c:ptCount val="13"/>
                    <c:pt idx="0">
                      <c:v>0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</c:v>
                    </c:pt>
                    <c:pt idx="11">
                      <c:v>0</c:v>
                    </c:pt>
                    <c:pt idx="12">
                      <c:v>0</c:v>
                    </c:pt>
                  </c:numLit>
                </c:val>
                <c:extLst>
                  <c:ext xmlns:c16="http://schemas.microsoft.com/office/drawing/2014/chart" uri="{C3380CC4-5D6E-409C-BE32-E72D297353CC}">
                    <c16:uniqueId val="{00000023-CDE6-4A76-856C-CAF295DBD02B}"/>
                  </c:ext>
                </c:extLst>
              </c15:ser>
            </c15:filteredBarSeries>
          </c:ext>
        </c:extLst>
      </c:barChart>
      <c:lineChart>
        <c:grouping val="stacked"/>
        <c:varyColors val="0"/>
        <c:ser>
          <c:idx val="8"/>
          <c:order val="8"/>
          <c:tx>
            <c:strRef>
              <c:f>'STR &amp; SRT + QRW ZONE'!$A$22</c:f>
              <c:strCache>
                <c:ptCount val="1"/>
                <c:pt idx="0">
                  <c:v>TARGET</c:v>
                </c:pt>
              </c:strCache>
            </c:strRef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5B9BD5">
                  <a:lumMod val="50000"/>
                </a:srgbClr>
              </a:solidFill>
              <a:ln w="9525">
                <a:solidFill>
                  <a:srgbClr val="5B9BD5">
                    <a:lumMod val="50000"/>
                  </a:srgbClr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rgbClr val="5B9BD5">
                    <a:lumMod val="50000"/>
                  </a:srgbClr>
                </a:solidFill>
                <a:ln w="9525">
                  <a:solidFill>
                    <a:srgbClr val="5B9BD5">
                      <a:lumMod val="50000"/>
                    </a:srgbClr>
                  </a:solidFill>
                </a:ln>
                <a:effectLst/>
              </c:spPr>
            </c:marker>
            <c:bubble3D val="0"/>
            <c:spPr>
              <a:ln w="25400" cap="rnd">
                <a:solidFill>
                  <a:srgbClr val="5B9BD5">
                    <a:lumMod val="50000"/>
                  </a:srgb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CDE6-4A76-856C-CAF295DBD02B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E6-4A76-856C-CAF295DBD02B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DE6-4A76-856C-CAF295DBD02B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DE6-4A76-856C-CAF295DBD02B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DE6-4A76-856C-CAF295DBD02B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DE6-4A76-856C-CAF295DBD02B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DE6-4A76-856C-CAF295DBD02B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1B1-4699-B9E3-CAEEBC1840EB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DE6-4A76-856C-CAF295DBD02B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DE6-4A76-856C-CAF295DBD02B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1B1-4699-B9E3-CAEEBC1840EB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532-4CB2-91E3-31AA00015DC2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9CE-457B-88D4-BC074A479E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5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'STR &amp; SRT + QRW ZONE'!$J$2:$CU$2</c:f>
              <c:strCache>
                <c:ptCount val="26"/>
                <c:pt idx="1">
                  <c:v>ENE</c:v>
                </c:pt>
                <c:pt idx="2">
                  <c:v>FEB</c:v>
                </c:pt>
                <c:pt idx="3">
                  <c:v>MAR</c:v>
                </c:pt>
                <c:pt idx="4">
                  <c:v>ABR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SEPT</c:v>
                </c:pt>
                <c:pt idx="10">
                  <c:v>OCT</c:v>
                </c:pt>
                <c:pt idx="11">
                  <c:v>NOV</c:v>
                </c:pt>
                <c:pt idx="13">
                  <c:v>S43</c:v>
                </c:pt>
                <c:pt idx="14">
                  <c:v>S44</c:v>
                </c:pt>
                <c:pt idx="15">
                  <c:v>S45</c:v>
                </c:pt>
                <c:pt idx="16">
                  <c:v>S46</c:v>
                </c:pt>
                <c:pt idx="17">
                  <c:v>S47</c:v>
                </c:pt>
                <c:pt idx="18">
                  <c:v>S48</c:v>
                </c:pt>
                <c:pt idx="19">
                  <c:v>S49</c:v>
                </c:pt>
                <c:pt idx="21">
                  <c:v>LUN</c:v>
                </c:pt>
                <c:pt idx="22">
                  <c:v>MAR</c:v>
                </c:pt>
                <c:pt idx="23">
                  <c:v>MIE</c:v>
                </c:pt>
                <c:pt idx="24">
                  <c:v>JUE</c:v>
                </c:pt>
                <c:pt idx="25">
                  <c:v>VIE</c:v>
                </c:pt>
              </c:strCache>
            </c:strRef>
          </c:cat>
          <c:val>
            <c:numRef>
              <c:f>'STR &amp; SRT + QRW ZONE'!$P$22:$CU$22</c:f>
              <c:numCache>
                <c:formatCode>0%</c:formatCode>
                <c:ptCount val="25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0.85</c:v>
                </c:pt>
                <c:pt idx="4">
                  <c:v>0.9</c:v>
                </c:pt>
                <c:pt idx="5">
                  <c:v>0.93</c:v>
                </c:pt>
                <c:pt idx="6">
                  <c:v>0.93</c:v>
                </c:pt>
                <c:pt idx="7">
                  <c:v>0.94</c:v>
                </c:pt>
                <c:pt idx="8">
                  <c:v>0.94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0.94</c:v>
                </c:pt>
                <c:pt idx="13">
                  <c:v>0.94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DE6-4A76-856C-CAF295DBD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6603904"/>
        <c:axId val="626604296"/>
        <c:extLst/>
      </c:lineChart>
      <c:catAx>
        <c:axId val="626603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6604296"/>
        <c:crosses val="autoZero"/>
        <c:auto val="1"/>
        <c:lblAlgn val="ctr"/>
        <c:lblOffset val="100"/>
        <c:noMultiLvlLbl val="0"/>
      </c:catAx>
      <c:valAx>
        <c:axId val="626604296"/>
        <c:scaling>
          <c:orientation val="minMax"/>
          <c:max val="1"/>
        </c:scaling>
        <c:delete val="1"/>
        <c:axPos val="l"/>
        <c:numFmt formatCode="0.00" sourceLinked="1"/>
        <c:majorTickMark val="out"/>
        <c:minorTickMark val="none"/>
        <c:tickLblPos val="nextTo"/>
        <c:crossAx val="626603904"/>
        <c:crosses val="autoZero"/>
        <c:crossBetween val="between"/>
      </c:valAx>
      <c:valAx>
        <c:axId val="626604688"/>
        <c:scaling>
          <c:orientation val="minMax"/>
          <c:max val="10"/>
        </c:scaling>
        <c:delete val="1"/>
        <c:axPos val="r"/>
        <c:numFmt formatCode="0.00" sourceLinked="1"/>
        <c:majorTickMark val="out"/>
        <c:minorTickMark val="none"/>
        <c:tickLblPos val="nextTo"/>
        <c:crossAx val="626605080"/>
        <c:crosses val="max"/>
        <c:crossBetween val="between"/>
      </c:valAx>
      <c:catAx>
        <c:axId val="626605080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626604688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7830522257742605"/>
          <c:y val="0.8877260796945835"/>
          <c:w val="0.31713494283951482"/>
          <c:h val="0.10959341445955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6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 algn="ctr">
        <a:defRPr lang="en-US" sz="1000" b="1" i="0" u="none" strike="noStrike" kern="1200" baseline="0">
          <a:solidFill>
            <a:sysClr val="windowText" lastClr="000000"/>
          </a:solidFill>
          <a:latin typeface="+mn-lt"/>
          <a:ea typeface="+mn-ea"/>
          <a:cs typeface="+mn-cs"/>
        </a:defRPr>
      </a:pPr>
      <a:endParaRPr lang="es-AR"/>
    </a:p>
  </c:txPr>
  <c:printSettings>
    <c:headerFooter/>
    <c:pageMargins b="0.75" l="0.25" r="0.25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22</xdr:row>
      <xdr:rowOff>67469</xdr:rowOff>
    </xdr:from>
    <xdr:to>
      <xdr:col>98</xdr:col>
      <xdr:colOff>523875</xdr:colOff>
      <xdr:row>44</xdr:row>
      <xdr:rowOff>67469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99</xdr:col>
      <xdr:colOff>673553</xdr:colOff>
      <xdr:row>22</xdr:row>
      <xdr:rowOff>79375</xdr:rowOff>
    </xdr:from>
    <xdr:to>
      <xdr:col>109</xdr:col>
      <xdr:colOff>693964</xdr:colOff>
      <xdr:row>44</xdr:row>
      <xdr:rowOff>79375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49</xdr:row>
      <xdr:rowOff>0</xdr:rowOff>
    </xdr:from>
    <xdr:to>
      <xdr:col>98</xdr:col>
      <xdr:colOff>523875</xdr:colOff>
      <xdr:row>71</xdr:row>
      <xdr:rowOff>27214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99</xdr:col>
      <xdr:colOff>653142</xdr:colOff>
      <xdr:row>48</xdr:row>
      <xdr:rowOff>149678</xdr:rowOff>
    </xdr:from>
    <xdr:to>
      <xdr:col>109</xdr:col>
      <xdr:colOff>673553</xdr:colOff>
      <xdr:row>70</xdr:row>
      <xdr:rowOff>176892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30</xdr:row>
          <xdr:rowOff>0</xdr:rowOff>
        </xdr:from>
        <xdr:to>
          <xdr:col>19</xdr:col>
          <xdr:colOff>114300</xdr:colOff>
          <xdr:row>33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Publicar en Web</a:t>
              </a:r>
            </a:p>
          </xdr:txBody>
        </xdr:sp>
        <xdr:clientData fPrintsWithSheet="0"/>
      </xdr:twoCellAnchor>
    </mc:Choice>
    <mc:Fallback/>
  </mc:AlternateContent>
  <xdr:twoCellAnchor>
    <xdr:from>
      <xdr:col>113</xdr:col>
      <xdr:colOff>161927</xdr:colOff>
      <xdr:row>23</xdr:row>
      <xdr:rowOff>76200</xdr:rowOff>
    </xdr:from>
    <xdr:to>
      <xdr:col>115</xdr:col>
      <xdr:colOff>19051</xdr:colOff>
      <xdr:row>30</xdr:row>
      <xdr:rowOff>152401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113</xdr:col>
      <xdr:colOff>85727</xdr:colOff>
      <xdr:row>51</xdr:row>
      <xdr:rowOff>28575</xdr:rowOff>
    </xdr:from>
    <xdr:to>
      <xdr:col>114</xdr:col>
      <xdr:colOff>1028701</xdr:colOff>
      <xdr:row>60</xdr:row>
      <xdr:rowOff>190500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102</xdr:col>
      <xdr:colOff>412750</xdr:colOff>
      <xdr:row>27</xdr:row>
      <xdr:rowOff>111125</xdr:rowOff>
    </xdr:from>
    <xdr:to>
      <xdr:col>103</xdr:col>
      <xdr:colOff>619125</xdr:colOff>
      <xdr:row>33</xdr:row>
      <xdr:rowOff>63500</xdr:rowOff>
    </xdr:to>
    <xdr:sp macro="" textlink="">
      <xdr:nvSpPr>
        <xdr:cNvPr id="4" name="Llamada de flecha hacia abaj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8351500" y="5461000"/>
          <a:ext cx="968375" cy="1111250"/>
        </a:xfrm>
        <a:prstGeom prst="downArrowCallout">
          <a:avLst>
            <a:gd name="adj1" fmla="val 9091"/>
            <a:gd name="adj2" fmla="val 13636"/>
            <a:gd name="adj3" fmla="val 25000"/>
            <a:gd name="adj4" fmla="val 5974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L'EM</a:t>
          </a:r>
          <a:r>
            <a:rPr lang="en-US" sz="1100" baseline="0"/>
            <a:t> supplier Commercial Issue</a:t>
          </a:r>
          <a:endParaRPr lang="en-US" sz="1100"/>
        </a:p>
      </xdr:txBody>
    </xdr:sp>
    <xdr:clientData/>
  </xdr:twoCellAnchor>
  <xdr:twoCellAnchor>
    <xdr:from>
      <xdr:col>102</xdr:col>
      <xdr:colOff>412750</xdr:colOff>
      <xdr:row>54</xdr:row>
      <xdr:rowOff>31750</xdr:rowOff>
    </xdr:from>
    <xdr:to>
      <xdr:col>103</xdr:col>
      <xdr:colOff>619125</xdr:colOff>
      <xdr:row>60</xdr:row>
      <xdr:rowOff>0</xdr:rowOff>
    </xdr:to>
    <xdr:sp macro="" textlink="">
      <xdr:nvSpPr>
        <xdr:cNvPr id="24" name="Llamada de flecha hacia abaj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9748500" y="10556875"/>
          <a:ext cx="968375" cy="1111250"/>
        </a:xfrm>
        <a:prstGeom prst="downArrowCallout">
          <a:avLst>
            <a:gd name="adj1" fmla="val 9091"/>
            <a:gd name="adj2" fmla="val 13636"/>
            <a:gd name="adj3" fmla="val 25000"/>
            <a:gd name="adj4" fmla="val 5974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L'EM</a:t>
          </a:r>
          <a:r>
            <a:rPr lang="en-US" sz="1100" baseline="0"/>
            <a:t> supplier Commercial Issue</a:t>
          </a:r>
          <a:endParaRPr lang="en-US" sz="1100"/>
        </a:p>
      </xdr:txBody>
    </xdr:sp>
    <xdr:clientData/>
  </xdr:twoCellAnchor>
  <xdr:twoCellAnchor>
    <xdr:from>
      <xdr:col>65</xdr:col>
      <xdr:colOff>698500</xdr:colOff>
      <xdr:row>24</xdr:row>
      <xdr:rowOff>158749</xdr:rowOff>
    </xdr:from>
    <xdr:to>
      <xdr:col>69</xdr:col>
      <xdr:colOff>142875</xdr:colOff>
      <xdr:row>29</xdr:row>
      <xdr:rowOff>95250</xdr:rowOff>
    </xdr:to>
    <xdr:sp macro="" textlink="">
      <xdr:nvSpPr>
        <xdr:cNvPr id="25" name="Llamada de flecha hacia abajo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1207750" y="4937124"/>
          <a:ext cx="968375" cy="889001"/>
        </a:xfrm>
        <a:prstGeom prst="downArrowCallout">
          <a:avLst>
            <a:gd name="adj1" fmla="val 9091"/>
            <a:gd name="adj2" fmla="val 13636"/>
            <a:gd name="adj3" fmla="val 25000"/>
            <a:gd name="adj4" fmla="val 5974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Production</a:t>
          </a:r>
        </a:p>
        <a:p>
          <a:pPr algn="ctr"/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Re-start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/>
        </a:p>
      </xdr:txBody>
    </xdr:sp>
    <xdr:clientData/>
  </xdr:twoCellAnchor>
  <xdr:twoCellAnchor>
    <xdr:from>
      <xdr:col>66</xdr:col>
      <xdr:colOff>301625</xdr:colOff>
      <xdr:row>53</xdr:row>
      <xdr:rowOff>0</xdr:rowOff>
    </xdr:from>
    <xdr:to>
      <xdr:col>69</xdr:col>
      <xdr:colOff>508000</xdr:colOff>
      <xdr:row>57</xdr:row>
      <xdr:rowOff>127001</xdr:rowOff>
    </xdr:to>
    <xdr:sp macro="" textlink="">
      <xdr:nvSpPr>
        <xdr:cNvPr id="26" name="Llamada de flecha hacia abaj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1572875" y="10334625"/>
          <a:ext cx="968375" cy="889001"/>
        </a:xfrm>
        <a:prstGeom prst="downArrowCallout">
          <a:avLst>
            <a:gd name="adj1" fmla="val 9091"/>
            <a:gd name="adj2" fmla="val 13636"/>
            <a:gd name="adj3" fmla="val 25000"/>
            <a:gd name="adj4" fmla="val 5974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Production</a:t>
          </a:r>
        </a:p>
        <a:p>
          <a:pPr algn="ctr"/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Re-start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/>
        </a:p>
      </xdr:txBody>
    </xdr:sp>
    <xdr:clientData/>
  </xdr:twoCellAnchor>
  <xdr:twoCellAnchor>
    <xdr:from>
      <xdr:col>66</xdr:col>
      <xdr:colOff>412750</xdr:colOff>
      <xdr:row>31</xdr:row>
      <xdr:rowOff>95249</xdr:rowOff>
    </xdr:from>
    <xdr:to>
      <xdr:col>69</xdr:col>
      <xdr:colOff>460375</xdr:colOff>
      <xdr:row>36</xdr:row>
      <xdr:rowOff>31750</xdr:rowOff>
    </xdr:to>
    <xdr:sp macro="" textlink="">
      <xdr:nvSpPr>
        <xdr:cNvPr id="21" name="Llamada de flecha hacia abaj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11684000" y="6222999"/>
          <a:ext cx="809625" cy="889001"/>
        </a:xfrm>
        <a:prstGeom prst="downArrowCallout">
          <a:avLst>
            <a:gd name="adj1" fmla="val 9091"/>
            <a:gd name="adj2" fmla="val 13636"/>
            <a:gd name="adj3" fmla="val 25000"/>
            <a:gd name="adj4" fmla="val 5974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Missing parts L'EM</a:t>
          </a:r>
          <a:endParaRPr lang="en-US" sz="1100"/>
        </a:p>
      </xdr:txBody>
    </xdr:sp>
    <xdr:clientData/>
  </xdr:twoCellAnchor>
  <xdr:twoCellAnchor>
    <xdr:from>
      <xdr:col>108</xdr:col>
      <xdr:colOff>269875</xdr:colOff>
      <xdr:row>27</xdr:row>
      <xdr:rowOff>158750</xdr:rowOff>
    </xdr:from>
    <xdr:to>
      <xdr:col>108</xdr:col>
      <xdr:colOff>508000</xdr:colOff>
      <xdr:row>39</xdr:row>
      <xdr:rowOff>127000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24876125" y="5508625"/>
          <a:ext cx="238125" cy="227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 anchorCtr="0"/>
        <a:lstStyle/>
        <a:p>
          <a:r>
            <a:rPr lang="es-AR" sz="1600"/>
            <a:t>SIN</a:t>
          </a:r>
          <a:r>
            <a:rPr lang="es-AR" sz="1600" baseline="0"/>
            <a:t> PRODUCCIÓN</a:t>
          </a:r>
          <a:endParaRPr lang="es-AR" sz="1600"/>
        </a:p>
      </xdr:txBody>
    </xdr:sp>
    <xdr:clientData/>
  </xdr:twoCellAnchor>
  <xdr:twoCellAnchor>
    <xdr:from>
      <xdr:col>108</xdr:col>
      <xdr:colOff>587375</xdr:colOff>
      <xdr:row>27</xdr:row>
      <xdr:rowOff>142875</xdr:rowOff>
    </xdr:from>
    <xdr:to>
      <xdr:col>109</xdr:col>
      <xdr:colOff>63500</xdr:colOff>
      <xdr:row>39</xdr:row>
      <xdr:rowOff>111125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25193625" y="5492750"/>
          <a:ext cx="238125" cy="227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 anchorCtr="0"/>
        <a:lstStyle/>
        <a:p>
          <a:r>
            <a:rPr lang="es-AR" sz="1600"/>
            <a:t>SIN</a:t>
          </a:r>
          <a:r>
            <a:rPr lang="es-AR" sz="1600" baseline="0"/>
            <a:t> PRODUCCIÓN</a:t>
          </a:r>
          <a:endParaRPr lang="es-AR" sz="1600"/>
        </a:p>
      </xdr:txBody>
    </xdr:sp>
    <xdr:clientData/>
  </xdr:twoCellAnchor>
  <xdr:twoCellAnchor>
    <xdr:from>
      <xdr:col>99</xdr:col>
      <xdr:colOff>608135</xdr:colOff>
      <xdr:row>22</xdr:row>
      <xdr:rowOff>31750</xdr:rowOff>
    </xdr:from>
    <xdr:to>
      <xdr:col>110</xdr:col>
      <xdr:colOff>100135</xdr:colOff>
      <xdr:row>45</xdr:row>
      <xdr:rowOff>15875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0848760" y="4299683"/>
          <a:ext cx="7954596" cy="42337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99</xdr:col>
      <xdr:colOff>460375</xdr:colOff>
      <xdr:row>48</xdr:row>
      <xdr:rowOff>63500</xdr:rowOff>
    </xdr:from>
    <xdr:to>
      <xdr:col>109</xdr:col>
      <xdr:colOff>714375</xdr:colOff>
      <xdr:row>71</xdr:row>
      <xdr:rowOff>47625</xdr:rowOff>
    </xdr:to>
    <xdr:sp macro="" textlink="">
      <xdr:nvSpPr>
        <xdr:cNvPr id="19" name="Rectángul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8208625" y="9429750"/>
          <a:ext cx="7874000" cy="43973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66675</xdr:rowOff>
    </xdr:from>
    <xdr:to>
      <xdr:col>11</xdr:col>
      <xdr:colOff>766359</xdr:colOff>
      <xdr:row>14</xdr:row>
      <xdr:rowOff>142875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9526</xdr:colOff>
      <xdr:row>15</xdr:row>
      <xdr:rowOff>0</xdr:rowOff>
    </xdr:from>
    <xdr:to>
      <xdr:col>11</xdr:col>
      <xdr:colOff>742950</xdr:colOff>
      <xdr:row>29</xdr:row>
      <xdr:rowOff>76200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95250</xdr:colOff>
      <xdr:row>0</xdr:row>
      <xdr:rowOff>152399</xdr:rowOff>
    </xdr:from>
    <xdr:to>
      <xdr:col>23</xdr:col>
      <xdr:colOff>533400</xdr:colOff>
      <xdr:row>15</xdr:row>
      <xdr:rowOff>16328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119744</xdr:colOff>
      <xdr:row>15</xdr:row>
      <xdr:rowOff>57150</xdr:rowOff>
    </xdr:from>
    <xdr:to>
      <xdr:col>23</xdr:col>
      <xdr:colOff>552450</xdr:colOff>
      <xdr:row>29</xdr:row>
      <xdr:rowOff>156935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B050"/>
  </sheetPr>
  <dimension ref="A1:DW62"/>
  <sheetViews>
    <sheetView showGridLines="0" tabSelected="1" zoomScale="52" zoomScaleNormal="60" workbookViewId="0">
      <pane xSplit="1" topLeftCell="BR1" activePane="topRight" state="frozen"/>
      <selection pane="topRight" activeCell="DI59" sqref="DI59"/>
    </sheetView>
  </sheetViews>
  <sheetFormatPr baseColWidth="10" defaultRowHeight="15" x14ac:dyDescent="0.25"/>
  <cols>
    <col min="1" max="1" width="48" bestFit="1" customWidth="1"/>
    <col min="2" max="2" width="1" style="2" customWidth="1"/>
    <col min="3" max="14" width="7.7109375" hidden="1" customWidth="1"/>
    <col min="15" max="15" width="3.42578125" style="3" customWidth="1"/>
    <col min="16" max="20" width="7.7109375" style="109" customWidth="1"/>
    <col min="21" max="26" width="10.5703125" style="109" customWidth="1"/>
    <col min="27" max="27" width="2.28515625" style="144" customWidth="1"/>
    <col min="28" max="28" width="8.7109375" style="109" hidden="1" customWidth="1"/>
    <col min="29" max="30" width="9" style="109" hidden="1" customWidth="1"/>
    <col min="31" max="31" width="10" style="109" hidden="1" customWidth="1"/>
    <col min="32" max="37" width="9" style="109" hidden="1" customWidth="1"/>
    <col min="38" max="38" width="8.42578125" style="109" hidden="1" customWidth="1"/>
    <col min="39" max="41" width="9" style="109" hidden="1" customWidth="1"/>
    <col min="42" max="42" width="9.28515625" style="109" hidden="1" customWidth="1"/>
    <col min="43" max="47" width="9" style="109" hidden="1" customWidth="1"/>
    <col min="48" max="48" width="8.42578125" style="109" hidden="1" customWidth="1"/>
    <col min="49" max="49" width="9.5703125" style="109" hidden="1" customWidth="1"/>
    <col min="50" max="50" width="2.42578125" style="109" hidden="1" customWidth="1"/>
    <col min="51" max="58" width="9.5703125" style="109" hidden="1" customWidth="1"/>
    <col min="59" max="63" width="11.42578125" style="109" hidden="1" customWidth="1"/>
    <col min="64" max="70" width="11.42578125" style="109" customWidth="1"/>
    <col min="71" max="72" width="12" style="109" hidden="1" customWidth="1"/>
    <col min="73" max="73" width="11.5703125" style="109" hidden="1" customWidth="1"/>
    <col min="74" max="74" width="11.140625" style="109" hidden="1" customWidth="1"/>
    <col min="75" max="75" width="11.5703125" style="109" hidden="1" customWidth="1"/>
    <col min="76" max="81" width="11.42578125" style="109" hidden="1" customWidth="1"/>
    <col min="82" max="82" width="4.5703125" style="109" hidden="1" customWidth="1"/>
    <col min="83" max="83" width="12" style="109" hidden="1" customWidth="1"/>
    <col min="84" max="84" width="15" style="109" hidden="1" customWidth="1"/>
    <col min="85" max="85" width="4.7109375" style="109" hidden="1" customWidth="1"/>
    <col min="86" max="86" width="7.85546875" style="109" hidden="1" customWidth="1"/>
    <col min="87" max="87" width="5.7109375" style="109" hidden="1" customWidth="1"/>
    <col min="88" max="88" width="3.85546875" style="109" customWidth="1"/>
    <col min="89" max="89" width="12" style="109" hidden="1" customWidth="1"/>
    <col min="90" max="94" width="0" style="109" hidden="1" customWidth="1"/>
    <col min="95" max="95" width="12.140625" style="109" customWidth="1"/>
    <col min="96" max="96" width="13" style="109" customWidth="1"/>
    <col min="97" max="97" width="12" style="109" bestFit="1" customWidth="1"/>
    <col min="98" max="98" width="13.140625" style="109" customWidth="1"/>
    <col min="99" max="99" width="12.85546875" style="109" customWidth="1"/>
  </cols>
  <sheetData>
    <row r="1" spans="1:110" ht="15.75" thickBot="1" x14ac:dyDescent="0.3">
      <c r="A1" s="1" t="s">
        <v>0</v>
      </c>
      <c r="P1" s="109">
        <v>1</v>
      </c>
      <c r="Q1" s="109">
        <v>2</v>
      </c>
      <c r="R1" s="109">
        <v>3</v>
      </c>
      <c r="S1" s="109">
        <v>4</v>
      </c>
      <c r="T1" s="109">
        <v>5</v>
      </c>
      <c r="U1" s="109">
        <v>6</v>
      </c>
      <c r="V1" s="109">
        <v>7</v>
      </c>
      <c r="W1" s="109">
        <v>8</v>
      </c>
      <c r="X1" s="109">
        <v>9</v>
      </c>
      <c r="Y1" s="109">
        <v>10</v>
      </c>
      <c r="Z1" s="109">
        <v>11</v>
      </c>
      <c r="AA1" s="110"/>
      <c r="BL1" s="109" t="s">
        <v>131</v>
      </c>
      <c r="BM1" s="109" t="s">
        <v>132</v>
      </c>
      <c r="BN1" s="109" t="s">
        <v>139</v>
      </c>
      <c r="BO1" s="109" t="s">
        <v>140</v>
      </c>
      <c r="BP1" s="109" t="s">
        <v>142</v>
      </c>
      <c r="BQ1" s="109" t="s">
        <v>143</v>
      </c>
      <c r="BR1" s="109" t="s">
        <v>145</v>
      </c>
      <c r="BS1" s="111">
        <v>43563</v>
      </c>
      <c r="BT1" s="111">
        <v>43564</v>
      </c>
      <c r="BU1" s="111">
        <v>43565</v>
      </c>
      <c r="BV1" s="111">
        <v>43566</v>
      </c>
      <c r="BW1" s="111">
        <v>43567</v>
      </c>
      <c r="BY1" s="112">
        <v>15</v>
      </c>
      <c r="BZ1" s="112">
        <v>16</v>
      </c>
      <c r="CA1" s="112">
        <v>17</v>
      </c>
      <c r="CB1" s="112">
        <v>18</v>
      </c>
      <c r="CC1" s="112">
        <v>19</v>
      </c>
      <c r="CD1" s="113"/>
      <c r="CE1" s="112">
        <v>43577</v>
      </c>
      <c r="CF1" s="112">
        <v>43578</v>
      </c>
      <c r="CG1" s="112">
        <v>43579</v>
      </c>
      <c r="CH1" s="112">
        <v>43580</v>
      </c>
      <c r="CI1" s="112">
        <v>43581</v>
      </c>
      <c r="CJ1" s="113"/>
      <c r="CK1" s="112">
        <v>43584</v>
      </c>
      <c r="CL1" s="112">
        <v>43585</v>
      </c>
      <c r="CM1" s="112">
        <v>43586</v>
      </c>
      <c r="CN1" s="112">
        <v>43587</v>
      </c>
      <c r="CO1" s="112">
        <v>43588</v>
      </c>
      <c r="CP1" s="113"/>
      <c r="CQ1" s="114">
        <v>43801</v>
      </c>
      <c r="CR1" s="114">
        <v>43802</v>
      </c>
      <c r="CS1" s="114">
        <v>43803</v>
      </c>
      <c r="CT1" s="114">
        <v>43804</v>
      </c>
      <c r="CU1" s="114">
        <v>43805</v>
      </c>
    </row>
    <row r="2" spans="1:110" s="66" customFormat="1" x14ac:dyDescent="0.25">
      <c r="A2" s="166" t="s">
        <v>1</v>
      </c>
      <c r="B2" s="5"/>
      <c r="C2" s="6" t="s">
        <v>2</v>
      </c>
      <c r="D2" s="6" t="s">
        <v>3</v>
      </c>
      <c r="E2" s="6" t="s">
        <v>4</v>
      </c>
      <c r="F2" s="6" t="s">
        <v>5</v>
      </c>
      <c r="G2" s="6" t="s">
        <v>6</v>
      </c>
      <c r="H2" s="6" t="s">
        <v>7</v>
      </c>
      <c r="I2" s="6" t="s">
        <v>8</v>
      </c>
      <c r="J2" s="6" t="s">
        <v>9</v>
      </c>
      <c r="K2" s="6" t="s">
        <v>10</v>
      </c>
      <c r="L2" s="6" t="s">
        <v>11</v>
      </c>
      <c r="M2" s="6" t="s">
        <v>12</v>
      </c>
      <c r="N2" s="6" t="s">
        <v>13</v>
      </c>
      <c r="O2" s="7"/>
      <c r="P2" s="115" t="s">
        <v>14</v>
      </c>
      <c r="Q2" s="115" t="s">
        <v>15</v>
      </c>
      <c r="R2" s="116" t="s">
        <v>16</v>
      </c>
      <c r="S2" s="116" t="s">
        <v>17</v>
      </c>
      <c r="T2" s="116" t="s">
        <v>18</v>
      </c>
      <c r="U2" s="116" t="s">
        <v>59</v>
      </c>
      <c r="V2" s="116" t="s">
        <v>61</v>
      </c>
      <c r="W2" s="116" t="s">
        <v>9</v>
      </c>
      <c r="X2" s="116" t="s">
        <v>130</v>
      </c>
      <c r="Y2" s="116" t="s">
        <v>11</v>
      </c>
      <c r="Z2" s="116" t="s">
        <v>12</v>
      </c>
      <c r="AA2" s="110"/>
      <c r="AB2" s="117" t="s">
        <v>19</v>
      </c>
      <c r="AC2" s="115" t="s">
        <v>20</v>
      </c>
      <c r="AD2" s="115" t="s">
        <v>21</v>
      </c>
      <c r="AE2" s="115" t="s">
        <v>22</v>
      </c>
      <c r="AF2" s="115" t="s">
        <v>23</v>
      </c>
      <c r="AG2" s="115" t="s">
        <v>24</v>
      </c>
      <c r="AH2" s="115" t="s">
        <v>25</v>
      </c>
      <c r="AI2" s="115" t="s">
        <v>26</v>
      </c>
      <c r="AJ2" s="115" t="s">
        <v>27</v>
      </c>
      <c r="AK2" s="115" t="s">
        <v>28</v>
      </c>
      <c r="AL2" s="115" t="s">
        <v>29</v>
      </c>
      <c r="AM2" s="115" t="s">
        <v>30</v>
      </c>
      <c r="AN2" s="115" t="s">
        <v>31</v>
      </c>
      <c r="AO2" s="115" t="s">
        <v>32</v>
      </c>
      <c r="AP2" s="115" t="s">
        <v>33</v>
      </c>
      <c r="AQ2" s="115" t="s">
        <v>34</v>
      </c>
      <c r="AR2" s="115" t="s">
        <v>35</v>
      </c>
      <c r="AS2" s="115" t="s">
        <v>36</v>
      </c>
      <c r="AT2" s="115" t="s">
        <v>37</v>
      </c>
      <c r="AU2" s="115" t="s">
        <v>38</v>
      </c>
      <c r="AV2" s="115" t="s">
        <v>39</v>
      </c>
      <c r="AW2" s="115"/>
      <c r="AX2" s="118"/>
      <c r="AY2" s="115" t="s">
        <v>40</v>
      </c>
      <c r="AZ2" s="115" t="s">
        <v>41</v>
      </c>
      <c r="BA2" s="115" t="s">
        <v>42</v>
      </c>
      <c r="BB2" s="115" t="s">
        <v>43</v>
      </c>
      <c r="BC2" s="115" t="s">
        <v>44</v>
      </c>
      <c r="BD2" s="115" t="s">
        <v>45</v>
      </c>
      <c r="BE2" s="115" t="s">
        <v>46</v>
      </c>
      <c r="BF2" s="115" t="s">
        <v>47</v>
      </c>
      <c r="BG2" s="115" t="s">
        <v>48</v>
      </c>
      <c r="BH2" s="115" t="s">
        <v>49</v>
      </c>
      <c r="BI2" s="115" t="s">
        <v>50</v>
      </c>
      <c r="BJ2" s="115" t="s">
        <v>51</v>
      </c>
      <c r="BK2" s="115" t="s">
        <v>52</v>
      </c>
      <c r="BL2" s="115" t="s">
        <v>133</v>
      </c>
      <c r="BM2" s="115" t="s">
        <v>134</v>
      </c>
      <c r="BN2" s="115" t="s">
        <v>137</v>
      </c>
      <c r="BO2" s="115" t="s">
        <v>138</v>
      </c>
      <c r="BP2" s="115" t="s">
        <v>141</v>
      </c>
      <c r="BQ2" s="115" t="s">
        <v>144</v>
      </c>
      <c r="BR2" s="115" t="s">
        <v>146</v>
      </c>
      <c r="BS2" s="120" t="s">
        <v>53</v>
      </c>
      <c r="BT2" s="121" t="s">
        <v>16</v>
      </c>
      <c r="BU2" s="121" t="s">
        <v>54</v>
      </c>
      <c r="BV2" s="121" t="s">
        <v>55</v>
      </c>
      <c r="BW2" s="121" t="s">
        <v>56</v>
      </c>
      <c r="BX2" s="119"/>
      <c r="BY2" s="120" t="s">
        <v>53</v>
      </c>
      <c r="BZ2" s="121" t="s">
        <v>16</v>
      </c>
      <c r="CA2" s="121" t="s">
        <v>54</v>
      </c>
      <c r="CB2" s="121" t="s">
        <v>55</v>
      </c>
      <c r="CC2" s="121" t="s">
        <v>56</v>
      </c>
      <c r="CD2" s="122"/>
      <c r="CE2" s="120" t="s">
        <v>53</v>
      </c>
      <c r="CF2" s="121" t="s">
        <v>16</v>
      </c>
      <c r="CG2" s="121" t="s">
        <v>54</v>
      </c>
      <c r="CH2" s="121" t="s">
        <v>55</v>
      </c>
      <c r="CI2" s="121" t="s">
        <v>56</v>
      </c>
      <c r="CJ2" s="122"/>
      <c r="CK2" s="120" t="s">
        <v>53</v>
      </c>
      <c r="CL2" s="121" t="s">
        <v>16</v>
      </c>
      <c r="CM2" s="121" t="s">
        <v>54</v>
      </c>
      <c r="CN2" s="121" t="s">
        <v>55</v>
      </c>
      <c r="CO2" s="121" t="s">
        <v>56</v>
      </c>
      <c r="CP2" s="122"/>
      <c r="CQ2" s="120" t="s">
        <v>53</v>
      </c>
      <c r="CR2" s="121" t="s">
        <v>16</v>
      </c>
      <c r="CS2" s="121" t="s">
        <v>62</v>
      </c>
      <c r="CT2" s="121" t="s">
        <v>63</v>
      </c>
      <c r="CU2" s="121" t="s">
        <v>64</v>
      </c>
      <c r="CV2" s="5"/>
      <c r="CW2" s="5" t="s">
        <v>59</v>
      </c>
      <c r="CX2" s="5" t="s">
        <v>61</v>
      </c>
      <c r="CY2" s="5" t="s">
        <v>9</v>
      </c>
      <c r="CZ2" s="5" t="s">
        <v>10</v>
      </c>
      <c r="DA2" s="5" t="s">
        <v>11</v>
      </c>
      <c r="DB2" s="5" t="s">
        <v>12</v>
      </c>
      <c r="DC2" s="5" t="s">
        <v>13</v>
      </c>
    </row>
    <row r="3" spans="1:110" s="66" customFormat="1" ht="15.75" thickBot="1" x14ac:dyDescent="0.3">
      <c r="A3" s="167"/>
      <c r="B3" s="8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10"/>
      <c r="P3" s="9"/>
      <c r="Q3" s="9"/>
      <c r="R3" s="11"/>
      <c r="S3" s="12"/>
      <c r="T3" s="12"/>
      <c r="U3" s="12"/>
      <c r="V3" s="12"/>
      <c r="W3" s="12"/>
      <c r="X3" s="12"/>
      <c r="Y3" s="12"/>
      <c r="Z3" s="12"/>
      <c r="AA3" s="13"/>
      <c r="AB3" s="14"/>
      <c r="AC3" s="15"/>
      <c r="AD3" s="15"/>
      <c r="AE3" s="15"/>
      <c r="AF3" s="15"/>
      <c r="AG3" s="16"/>
      <c r="AH3" s="16"/>
      <c r="AI3" s="16"/>
      <c r="AJ3" s="16"/>
      <c r="AK3" s="15"/>
      <c r="AL3" s="15"/>
      <c r="AM3" s="15"/>
      <c r="AN3" s="15"/>
      <c r="AO3" s="15"/>
      <c r="AP3" s="17"/>
      <c r="AQ3" s="17"/>
      <c r="AR3" s="17"/>
      <c r="AS3" s="17"/>
      <c r="AT3" s="15"/>
      <c r="AU3" s="15"/>
      <c r="AV3" s="15"/>
      <c r="AW3" s="15"/>
      <c r="AX3" s="10"/>
      <c r="AY3" s="18"/>
      <c r="AZ3" s="18"/>
      <c r="BA3" s="18"/>
      <c r="BB3" s="19"/>
      <c r="BC3" s="19"/>
      <c r="BD3" s="19"/>
      <c r="BE3" s="19"/>
      <c r="BF3" s="19"/>
      <c r="BG3" s="109"/>
      <c r="BH3" s="109"/>
      <c r="BI3" s="109"/>
      <c r="BJ3" s="109"/>
      <c r="BK3" s="109"/>
      <c r="BL3" s="109"/>
      <c r="BM3" s="109"/>
      <c r="BN3" s="109"/>
      <c r="BO3" s="109"/>
      <c r="BP3" s="109"/>
      <c r="BQ3" s="109"/>
      <c r="BR3" s="109"/>
      <c r="BS3" s="109"/>
      <c r="BT3" s="109"/>
      <c r="BU3" s="109"/>
      <c r="BV3" s="109"/>
      <c r="BW3" s="109"/>
      <c r="BX3" s="109"/>
      <c r="BY3" s="109"/>
      <c r="BZ3" s="109"/>
      <c r="CA3" s="109"/>
      <c r="CB3" s="109"/>
      <c r="CC3" s="109"/>
      <c r="CD3" s="113"/>
      <c r="CE3" s="109"/>
      <c r="CF3" s="109"/>
      <c r="CG3" s="109"/>
      <c r="CH3" s="109"/>
      <c r="CI3" s="109"/>
      <c r="CJ3" s="113"/>
      <c r="CK3" s="109"/>
      <c r="CL3" s="109"/>
      <c r="CM3" s="109"/>
      <c r="CN3" s="109"/>
      <c r="CO3" s="109"/>
      <c r="CP3" s="113"/>
      <c r="CQ3" s="109"/>
      <c r="CR3" s="109"/>
      <c r="CS3" s="109"/>
      <c r="CT3" s="109"/>
      <c r="CU3" s="109"/>
      <c r="CV3"/>
      <c r="CW3"/>
      <c r="CX3"/>
      <c r="CY3"/>
      <c r="CZ3"/>
      <c r="DA3"/>
      <c r="DB3"/>
      <c r="DC3"/>
    </row>
    <row r="4" spans="1:110" s="66" customFormat="1" ht="29.25" hidden="1" customHeight="1" thickBot="1" x14ac:dyDescent="0.3">
      <c r="A4" s="2"/>
      <c r="B4" s="8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4"/>
      <c r="P4" s="123"/>
      <c r="Q4" s="123"/>
      <c r="R4" s="123"/>
      <c r="S4" s="123"/>
      <c r="T4" s="123"/>
      <c r="U4" s="123"/>
      <c r="V4" s="123"/>
      <c r="W4" s="123"/>
      <c r="X4" s="123"/>
      <c r="Y4" s="123"/>
      <c r="Z4" s="123"/>
      <c r="AA4" s="110"/>
      <c r="AB4" s="124"/>
      <c r="AC4" s="124"/>
      <c r="AD4" s="124"/>
      <c r="AE4" s="124"/>
      <c r="AF4" s="124"/>
      <c r="AG4" s="124"/>
      <c r="AH4" s="124"/>
      <c r="AI4" s="124"/>
      <c r="AJ4" s="124"/>
      <c r="AK4" s="124"/>
      <c r="AL4" s="124"/>
      <c r="AM4" s="124"/>
      <c r="AN4" s="124"/>
      <c r="AO4" s="124"/>
      <c r="AP4" s="124"/>
      <c r="AQ4" s="124"/>
      <c r="AR4" s="124"/>
      <c r="AS4" s="124"/>
      <c r="AT4" s="124"/>
      <c r="AU4" s="124"/>
      <c r="AV4" s="124"/>
      <c r="AW4" s="124"/>
      <c r="AX4" s="124"/>
      <c r="AY4" s="124"/>
      <c r="AZ4" s="124"/>
      <c r="BA4" s="124"/>
      <c r="BB4" s="124"/>
      <c r="BC4" s="124"/>
      <c r="BD4" s="124"/>
      <c r="BE4" s="124"/>
      <c r="BF4" s="124"/>
      <c r="BG4" s="123"/>
      <c r="BH4" s="123"/>
      <c r="BI4" s="123"/>
      <c r="BJ4" s="123"/>
      <c r="BK4" s="123"/>
      <c r="BL4" s="123"/>
      <c r="BM4" s="123"/>
      <c r="BN4" s="123"/>
      <c r="BO4" s="123"/>
      <c r="BP4" s="123"/>
      <c r="BQ4" s="123"/>
      <c r="BR4" s="123"/>
      <c r="BS4" s="123"/>
      <c r="BT4" s="123"/>
      <c r="BU4" s="123"/>
      <c r="BV4" s="123"/>
      <c r="BW4" s="123"/>
      <c r="BX4" s="123"/>
      <c r="BY4" s="123"/>
      <c r="BZ4" s="123"/>
      <c r="CA4" s="123"/>
      <c r="CB4" s="123"/>
      <c r="CC4" s="123"/>
      <c r="CD4" s="113"/>
      <c r="CE4" s="123"/>
      <c r="CF4" s="123"/>
      <c r="CG4" s="123"/>
      <c r="CH4" s="123"/>
      <c r="CI4" s="123"/>
      <c r="CJ4" s="113"/>
      <c r="CK4" s="123"/>
      <c r="CL4" s="123"/>
      <c r="CM4" s="123"/>
      <c r="CN4" s="123"/>
      <c r="CO4" s="123"/>
      <c r="CP4" s="113"/>
      <c r="CQ4" s="123"/>
      <c r="CR4" s="123"/>
      <c r="CS4" s="123"/>
      <c r="CT4" s="123"/>
      <c r="CU4" s="123"/>
      <c r="CV4" s="2"/>
      <c r="CW4" s="2"/>
      <c r="CX4" s="2"/>
      <c r="CY4" s="2"/>
      <c r="CZ4" s="2"/>
      <c r="DA4" s="2"/>
      <c r="DB4" s="2"/>
      <c r="DC4" s="2"/>
    </row>
    <row r="5" spans="1:110" s="66" customFormat="1" ht="30" hidden="1" customHeight="1" x14ac:dyDescent="0.25">
      <c r="A5" s="20"/>
      <c r="B5" s="8"/>
      <c r="C5" s="22"/>
      <c r="D5" s="23"/>
      <c r="E5" s="23"/>
      <c r="F5" s="23"/>
      <c r="G5" s="23"/>
      <c r="H5" s="23"/>
      <c r="I5" s="23"/>
      <c r="J5" s="23"/>
      <c r="K5" s="23"/>
      <c r="L5" s="23"/>
      <c r="M5" s="23"/>
      <c r="N5" s="24"/>
      <c r="O5" s="25"/>
      <c r="P5" s="24"/>
      <c r="Q5" s="24"/>
      <c r="R5" s="26"/>
      <c r="S5" s="27"/>
      <c r="T5" s="27"/>
      <c r="U5" s="27"/>
      <c r="V5" s="27"/>
      <c r="W5" s="27"/>
      <c r="X5" s="27"/>
      <c r="Y5" s="27"/>
      <c r="Z5" s="27"/>
      <c r="AA5" s="13"/>
      <c r="AB5" s="28" t="e">
        <f>AVERAGE(#REF!)</f>
        <v>#REF!</v>
      </c>
      <c r="AC5" s="29" t="e">
        <f>AVERAGE(#REF!)</f>
        <v>#REF!</v>
      </c>
      <c r="AD5" s="29" t="e">
        <f>AVERAGE(#REF!)</f>
        <v>#REF!</v>
      </c>
      <c r="AE5" s="29" t="e">
        <f>AVERAGE(#REF!)</f>
        <v>#REF!</v>
      </c>
      <c r="AF5" s="29" t="e">
        <f>AVERAGE(#REF!)</f>
        <v>#REF!</v>
      </c>
      <c r="AG5" s="30">
        <v>21.875</v>
      </c>
      <c r="AH5" s="30">
        <v>18.5</v>
      </c>
      <c r="AI5" s="30">
        <v>13.620000000000001</v>
      </c>
      <c r="AJ5" s="30" t="s">
        <v>57</v>
      </c>
      <c r="AK5" s="29">
        <v>15.388070801775049</v>
      </c>
      <c r="AL5" s="29">
        <v>11.022</v>
      </c>
      <c r="AM5" s="29" t="e">
        <f>AVERAGE(#REF!)</f>
        <v>#REF!</v>
      </c>
      <c r="AN5" s="29" t="e">
        <f>AVERAGE(#REF!)</f>
        <v>#REF!</v>
      </c>
      <c r="AO5" s="29" t="e">
        <f>AVERAGE(#REF!)</f>
        <v>#REF!</v>
      </c>
      <c r="AP5" s="31"/>
      <c r="AQ5" s="31"/>
      <c r="AR5" s="31"/>
      <c r="AS5" s="31"/>
      <c r="AT5" s="32"/>
      <c r="AU5" s="32"/>
      <c r="AV5" s="32"/>
      <c r="AW5" s="32"/>
      <c r="AX5" s="25"/>
      <c r="AY5" s="32"/>
      <c r="AZ5" s="32"/>
      <c r="BA5" s="32"/>
      <c r="BB5" s="32"/>
      <c r="BC5" s="32"/>
      <c r="BD5" s="32"/>
      <c r="BE5" s="32"/>
      <c r="BF5" s="32"/>
      <c r="BG5" s="125"/>
      <c r="BH5" s="125"/>
      <c r="BI5" s="125"/>
      <c r="BJ5" s="125"/>
      <c r="BK5" s="125"/>
      <c r="BL5" s="125"/>
      <c r="BM5" s="125"/>
      <c r="BN5" s="125"/>
      <c r="BO5" s="125"/>
      <c r="BP5" s="125"/>
      <c r="BQ5" s="125"/>
      <c r="BR5" s="125"/>
      <c r="BS5" s="125"/>
      <c r="BT5" s="125"/>
      <c r="BU5" s="125"/>
      <c r="BV5" s="125"/>
      <c r="BW5" s="125"/>
      <c r="BX5" s="125"/>
      <c r="BY5" s="125"/>
      <c r="BZ5" s="125"/>
      <c r="CA5" s="125"/>
      <c r="CB5" s="125"/>
      <c r="CC5" s="125"/>
      <c r="CD5" s="113"/>
      <c r="CE5" s="125"/>
      <c r="CF5" s="125"/>
      <c r="CG5" s="125"/>
      <c r="CH5" s="125"/>
      <c r="CI5" s="125"/>
      <c r="CJ5" s="113"/>
      <c r="CK5" s="125"/>
      <c r="CL5" s="125"/>
      <c r="CM5" s="125"/>
      <c r="CN5" s="125"/>
      <c r="CO5" s="125"/>
      <c r="CP5" s="113"/>
      <c r="CQ5" s="125"/>
      <c r="CR5" s="125"/>
      <c r="CS5" s="125"/>
      <c r="CT5" s="125"/>
      <c r="CU5" s="125"/>
      <c r="CV5" s="21"/>
      <c r="CW5" s="21"/>
      <c r="CX5" s="21"/>
      <c r="CY5" s="21"/>
      <c r="CZ5" s="21"/>
      <c r="DA5" s="21"/>
      <c r="DB5" s="21"/>
      <c r="DC5" s="21"/>
    </row>
    <row r="6" spans="1:110" s="66" customFormat="1" ht="16.5" hidden="1" customHeight="1" x14ac:dyDescent="0.25">
      <c r="A6" s="33"/>
      <c r="B6" s="8"/>
      <c r="C6" s="35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7"/>
      <c r="P6" s="36"/>
      <c r="Q6" s="36"/>
      <c r="R6" s="38"/>
      <c r="S6" s="39"/>
      <c r="T6" s="39"/>
      <c r="U6" s="39"/>
      <c r="V6" s="39"/>
      <c r="W6" s="39"/>
      <c r="X6" s="39"/>
      <c r="Y6" s="39"/>
      <c r="Z6" s="39"/>
      <c r="AA6" s="40"/>
      <c r="AB6" s="41"/>
      <c r="AC6" s="36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7"/>
      <c r="AY6" s="126"/>
      <c r="AZ6" s="126"/>
      <c r="BA6" s="126"/>
      <c r="BB6" s="126"/>
      <c r="BC6" s="126"/>
      <c r="BD6" s="126"/>
      <c r="BE6" s="126"/>
      <c r="BF6" s="126"/>
      <c r="BG6" s="127"/>
      <c r="BH6" s="127"/>
      <c r="BI6" s="127"/>
      <c r="BJ6" s="127"/>
      <c r="BK6" s="127"/>
      <c r="BL6" s="127"/>
      <c r="BM6" s="127"/>
      <c r="BN6" s="127"/>
      <c r="BO6" s="127"/>
      <c r="BP6" s="127"/>
      <c r="BQ6" s="127"/>
      <c r="BR6" s="127"/>
      <c r="BS6" s="127"/>
      <c r="BT6" s="127"/>
      <c r="BU6" s="127"/>
      <c r="BV6" s="127"/>
      <c r="BW6" s="127"/>
      <c r="BX6" s="127"/>
      <c r="BY6" s="127"/>
      <c r="BZ6" s="127"/>
      <c r="CA6" s="127"/>
      <c r="CB6" s="127"/>
      <c r="CC6" s="127"/>
      <c r="CD6" s="122"/>
      <c r="CE6" s="127"/>
      <c r="CF6" s="127"/>
      <c r="CG6" s="127"/>
      <c r="CH6" s="127"/>
      <c r="CI6" s="127"/>
      <c r="CJ6" s="122"/>
      <c r="CK6" s="127"/>
      <c r="CL6" s="127"/>
      <c r="CM6" s="127"/>
      <c r="CN6" s="127"/>
      <c r="CO6" s="127"/>
      <c r="CP6" s="122"/>
      <c r="CQ6" s="127"/>
      <c r="CR6" s="127"/>
      <c r="CS6" s="127"/>
      <c r="CT6" s="127"/>
      <c r="CU6" s="127"/>
      <c r="CV6" s="34"/>
      <c r="CW6" s="34"/>
      <c r="CX6" s="34"/>
      <c r="CY6" s="34"/>
      <c r="CZ6" s="34"/>
      <c r="DA6" s="34"/>
      <c r="DB6" s="34"/>
      <c r="DC6" s="75"/>
    </row>
    <row r="7" spans="1:110" s="66" customFormat="1" ht="16.5" hidden="1" customHeight="1" x14ac:dyDescent="0.25">
      <c r="A7" s="33"/>
      <c r="B7" s="8"/>
      <c r="C7" s="35"/>
      <c r="D7" s="36"/>
      <c r="E7" s="36"/>
      <c r="F7" s="36"/>
      <c r="G7" s="36"/>
      <c r="H7" s="36"/>
      <c r="I7" s="36"/>
      <c r="J7" s="42"/>
      <c r="K7" s="42"/>
      <c r="L7" s="42"/>
      <c r="M7" s="42"/>
      <c r="N7" s="42"/>
      <c r="O7" s="43"/>
      <c r="P7" s="126"/>
      <c r="Q7" s="128"/>
      <c r="R7" s="129"/>
      <c r="S7" s="130"/>
      <c r="T7" s="130"/>
      <c r="U7" s="130"/>
      <c r="V7" s="130"/>
      <c r="W7" s="130"/>
      <c r="X7" s="130"/>
      <c r="Y7" s="130"/>
      <c r="Z7" s="130"/>
      <c r="AA7" s="131"/>
      <c r="AB7" s="132"/>
      <c r="AC7" s="128"/>
      <c r="AD7" s="128"/>
      <c r="AE7" s="128"/>
      <c r="AF7" s="128"/>
      <c r="AG7" s="128"/>
      <c r="AH7" s="128"/>
      <c r="AI7" s="128"/>
      <c r="AJ7" s="128"/>
      <c r="AK7" s="128"/>
      <c r="AL7" s="128"/>
      <c r="AM7" s="128"/>
      <c r="AN7" s="128"/>
      <c r="AO7" s="128"/>
      <c r="AP7" s="128"/>
      <c r="AQ7" s="128"/>
      <c r="AR7" s="128"/>
      <c r="AS7" s="128"/>
      <c r="AT7" s="128"/>
      <c r="AU7" s="128"/>
      <c r="AV7" s="128"/>
      <c r="AW7" s="128"/>
      <c r="AX7" s="133"/>
      <c r="AY7" s="128"/>
      <c r="AZ7" s="128"/>
      <c r="BA7" s="128"/>
      <c r="BB7" s="128"/>
      <c r="BC7" s="128"/>
      <c r="BD7" s="128"/>
      <c r="BE7" s="128"/>
      <c r="BF7" s="128"/>
      <c r="BG7" s="134"/>
      <c r="BH7" s="134"/>
      <c r="BI7" s="134"/>
      <c r="BJ7" s="134"/>
      <c r="BK7" s="134"/>
      <c r="BL7" s="134"/>
      <c r="BM7" s="134"/>
      <c r="BN7" s="134"/>
      <c r="BO7" s="134"/>
      <c r="BP7" s="134"/>
      <c r="BQ7" s="134"/>
      <c r="BR7" s="134"/>
      <c r="BS7" s="134"/>
      <c r="BT7" s="134"/>
      <c r="BU7" s="134"/>
      <c r="BV7" s="134"/>
      <c r="BW7" s="134"/>
      <c r="BX7" s="134"/>
      <c r="BY7" s="134"/>
      <c r="BZ7" s="134"/>
      <c r="CA7" s="134"/>
      <c r="CB7" s="134"/>
      <c r="CC7" s="134"/>
      <c r="CD7" s="135"/>
      <c r="CE7" s="134"/>
      <c r="CF7" s="134"/>
      <c r="CG7" s="134"/>
      <c r="CH7" s="134"/>
      <c r="CI7" s="134"/>
      <c r="CJ7" s="135"/>
      <c r="CK7" s="134"/>
      <c r="CL7" s="134"/>
      <c r="CM7" s="134"/>
      <c r="CN7" s="134"/>
      <c r="CO7" s="134"/>
      <c r="CP7" s="135"/>
      <c r="CQ7" s="134"/>
      <c r="CR7" s="134"/>
      <c r="CS7" s="134"/>
      <c r="CT7" s="134"/>
      <c r="CU7" s="134"/>
      <c r="CV7" s="34"/>
      <c r="CW7" s="34"/>
      <c r="CX7" s="34"/>
      <c r="CY7" s="34"/>
      <c r="CZ7" s="34"/>
      <c r="DA7" s="34"/>
      <c r="DB7" s="34"/>
      <c r="DC7" s="75"/>
    </row>
    <row r="8" spans="1:110" s="66" customFormat="1" ht="16.5" customHeight="1" x14ac:dyDescent="0.25">
      <c r="A8" s="44" t="s">
        <v>65</v>
      </c>
      <c r="B8" s="8"/>
      <c r="C8" s="35"/>
      <c r="D8" s="36"/>
      <c r="E8" s="36"/>
      <c r="F8" s="36"/>
      <c r="G8" s="36"/>
      <c r="H8" s="36"/>
      <c r="I8" s="36"/>
      <c r="J8" s="45">
        <v>3784</v>
      </c>
      <c r="K8" s="45">
        <v>1800</v>
      </c>
      <c r="L8" s="45">
        <v>1000</v>
      </c>
      <c r="M8" s="45">
        <v>713</v>
      </c>
      <c r="N8" s="45">
        <v>708</v>
      </c>
      <c r="O8" s="46"/>
      <c r="P8" s="67"/>
      <c r="Q8" s="67">
        <v>0.71</v>
      </c>
      <c r="R8" s="67">
        <v>0.8</v>
      </c>
      <c r="S8" s="67">
        <v>0.92</v>
      </c>
      <c r="T8" s="67">
        <v>0.95</v>
      </c>
      <c r="U8" s="148">
        <v>0.96</v>
      </c>
      <c r="V8" s="148">
        <v>0.78</v>
      </c>
      <c r="W8" s="148">
        <v>0.74</v>
      </c>
      <c r="X8" s="148">
        <v>0.79689999999999994</v>
      </c>
      <c r="Y8" s="148">
        <v>0.82</v>
      </c>
      <c r="Z8" s="148">
        <f>AVERAGE(BN8:BR8)</f>
        <v>0.69986666666666664</v>
      </c>
      <c r="AA8" s="69"/>
      <c r="AB8" s="67"/>
      <c r="AC8" s="67"/>
      <c r="AD8" s="67"/>
      <c r="AE8" s="67"/>
      <c r="AF8" s="67"/>
      <c r="AG8" s="67"/>
      <c r="AH8" s="67"/>
      <c r="AI8" s="67"/>
      <c r="AJ8" s="67"/>
      <c r="AK8" s="67"/>
      <c r="AL8" s="67"/>
      <c r="AM8" s="67"/>
      <c r="AN8" s="67"/>
      <c r="AO8" s="67"/>
      <c r="AP8" s="67"/>
      <c r="AQ8" s="67"/>
      <c r="AR8" s="67"/>
      <c r="AS8" s="67"/>
      <c r="AT8" s="67"/>
      <c r="AU8" s="67"/>
      <c r="AV8" s="67">
        <v>610</v>
      </c>
      <c r="AW8" s="67"/>
      <c r="AX8" s="69"/>
      <c r="AY8" s="136">
        <v>569</v>
      </c>
      <c r="AZ8" s="136">
        <v>465</v>
      </c>
      <c r="BA8" s="136">
        <v>531</v>
      </c>
      <c r="BB8" s="136"/>
      <c r="BC8" s="136">
        <v>534</v>
      </c>
      <c r="BD8" s="136"/>
      <c r="BE8" s="136">
        <v>418</v>
      </c>
      <c r="BF8" s="136">
        <v>380</v>
      </c>
      <c r="BG8" s="136">
        <v>330</v>
      </c>
      <c r="BH8" s="136">
        <v>437</v>
      </c>
      <c r="BI8" s="136">
        <f>AVERAGE(BS8:BW8)</f>
        <v>358</v>
      </c>
      <c r="BJ8" s="136">
        <f>AVERAGE(BY8:CC8)</f>
        <v>273.33333333333331</v>
      </c>
      <c r="BK8" s="136">
        <f>AVERAGE(CE8:CI8)</f>
        <v>258</v>
      </c>
      <c r="BL8" s="136">
        <v>0.82499999999999996</v>
      </c>
      <c r="BM8" s="136">
        <v>0.8226</v>
      </c>
      <c r="BN8" s="136">
        <v>0.63</v>
      </c>
      <c r="BO8" s="136">
        <v>0.41</v>
      </c>
      <c r="BP8" s="136">
        <v>0.7</v>
      </c>
      <c r="BQ8" s="136">
        <v>0.876</v>
      </c>
      <c r="BR8" s="136">
        <f>AVERAGE(CQ8:CU8)</f>
        <v>0.8833333333333333</v>
      </c>
      <c r="BS8" s="136">
        <v>430</v>
      </c>
      <c r="BT8" s="136">
        <v>410</v>
      </c>
      <c r="BU8" s="136">
        <v>310</v>
      </c>
      <c r="BV8" s="136">
        <v>300</v>
      </c>
      <c r="BW8" s="136">
        <v>340</v>
      </c>
      <c r="BX8" s="136"/>
      <c r="BY8" s="136">
        <v>250</v>
      </c>
      <c r="BZ8" s="136">
        <v>260</v>
      </c>
      <c r="CA8" s="136">
        <v>310</v>
      </c>
      <c r="CB8" s="136"/>
      <c r="CC8" s="136"/>
      <c r="CD8" s="137"/>
      <c r="CE8" s="136">
        <v>310</v>
      </c>
      <c r="CF8" s="136">
        <v>290</v>
      </c>
      <c r="CG8" s="136">
        <v>240</v>
      </c>
      <c r="CH8" s="136">
        <v>270</v>
      </c>
      <c r="CI8" s="136">
        <v>180</v>
      </c>
      <c r="CJ8" s="137"/>
      <c r="CK8" s="136">
        <v>170</v>
      </c>
      <c r="CL8" s="136"/>
      <c r="CM8" s="136"/>
      <c r="CN8" s="136"/>
      <c r="CO8" s="136"/>
      <c r="CP8" s="137"/>
      <c r="CQ8" s="136">
        <v>0.87</v>
      </c>
      <c r="CR8" s="136">
        <v>0.88</v>
      </c>
      <c r="CS8" s="136">
        <v>0.9</v>
      </c>
      <c r="CT8" s="136"/>
      <c r="CU8" s="136"/>
      <c r="CV8" s="34"/>
      <c r="CW8" s="34"/>
      <c r="CX8" s="34"/>
      <c r="CY8" s="34"/>
      <c r="CZ8" s="34"/>
      <c r="DA8" s="34"/>
      <c r="DB8" s="34"/>
      <c r="DC8" s="34"/>
    </row>
    <row r="9" spans="1:110" s="66" customFormat="1" ht="16.5" customHeight="1" x14ac:dyDescent="0.25">
      <c r="A9" s="80" t="s">
        <v>120</v>
      </c>
      <c r="B9" s="8"/>
      <c r="C9" s="81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61"/>
      <c r="P9" s="82"/>
      <c r="Q9" s="67"/>
      <c r="R9" s="67"/>
      <c r="S9" s="67">
        <v>0.54</v>
      </c>
      <c r="T9" s="146">
        <v>0.56999999999999995</v>
      </c>
      <c r="U9" s="151">
        <v>0.43</v>
      </c>
      <c r="V9" s="148">
        <v>0.55000000000000004</v>
      </c>
      <c r="W9" s="148">
        <v>0.52</v>
      </c>
      <c r="X9" s="148">
        <v>0.56420000000000003</v>
      </c>
      <c r="Y9" s="148" t="s">
        <v>135</v>
      </c>
      <c r="Z9" s="148">
        <f>AVERAGE(BN9:BR9)</f>
        <v>0.63</v>
      </c>
      <c r="AA9" s="13"/>
      <c r="AB9" s="84"/>
      <c r="AC9" s="83"/>
      <c r="AD9" s="83"/>
      <c r="AE9" s="83"/>
      <c r="AF9" s="83"/>
      <c r="AG9" s="83"/>
      <c r="AH9" s="83"/>
      <c r="AI9" s="83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5"/>
      <c r="AX9" s="86"/>
      <c r="AY9" s="138"/>
      <c r="AZ9" s="138"/>
      <c r="BA9" s="138"/>
      <c r="BB9" s="138"/>
      <c r="BC9" s="138"/>
      <c r="BD9" s="138"/>
      <c r="BE9" s="138"/>
      <c r="BF9" s="138"/>
      <c r="BG9" s="138"/>
      <c r="BH9" s="138"/>
      <c r="BI9" s="138"/>
      <c r="BJ9" s="138"/>
      <c r="BK9" s="138"/>
      <c r="BL9" s="136">
        <v>0.56840000000000002</v>
      </c>
      <c r="BM9" s="136">
        <v>0.63300000000000001</v>
      </c>
      <c r="BN9" s="136">
        <v>0.63</v>
      </c>
      <c r="BO9" s="136"/>
      <c r="BP9" s="136"/>
      <c r="BQ9" s="136"/>
      <c r="BR9" s="136"/>
      <c r="BS9" s="138"/>
      <c r="BT9" s="138"/>
      <c r="BU9" s="138"/>
      <c r="BV9" s="138"/>
      <c r="BW9" s="138"/>
      <c r="BX9" s="138"/>
      <c r="BY9" s="138"/>
      <c r="BZ9" s="138"/>
      <c r="CA9" s="138"/>
      <c r="CB9" s="138"/>
      <c r="CC9" s="138"/>
      <c r="CD9" s="139"/>
      <c r="CE9" s="138"/>
      <c r="CF9" s="138"/>
      <c r="CG9" s="138"/>
      <c r="CH9" s="138"/>
      <c r="CI9" s="138"/>
      <c r="CJ9" s="137"/>
      <c r="CK9" s="138"/>
      <c r="CL9" s="138"/>
      <c r="CM9" s="138"/>
      <c r="CN9" s="138"/>
      <c r="CO9" s="138"/>
      <c r="CP9" s="138"/>
      <c r="CQ9" s="136"/>
      <c r="CR9" s="136"/>
      <c r="CS9" s="136"/>
      <c r="CT9" s="136"/>
      <c r="CU9" s="136"/>
      <c r="CV9" s="71"/>
      <c r="CW9" s="71"/>
      <c r="CX9" s="71"/>
      <c r="CY9" s="71"/>
      <c r="CZ9" s="71"/>
      <c r="DA9" s="71"/>
      <c r="DB9" s="71"/>
      <c r="DC9" s="71"/>
    </row>
    <row r="10" spans="1:110" s="66" customFormat="1" ht="16.5" customHeight="1" x14ac:dyDescent="0.25">
      <c r="A10" s="87" t="s">
        <v>123</v>
      </c>
      <c r="B10" s="8"/>
      <c r="C10" s="89"/>
      <c r="D10" s="90"/>
      <c r="E10" s="90"/>
      <c r="F10" s="90"/>
      <c r="G10" s="90"/>
      <c r="H10" s="90"/>
      <c r="I10" s="90"/>
      <c r="J10" s="90"/>
      <c r="K10" s="90"/>
      <c r="L10" s="90"/>
      <c r="M10" s="90"/>
      <c r="N10" s="90"/>
      <c r="O10" s="90"/>
      <c r="P10" s="90"/>
      <c r="Q10" s="90"/>
      <c r="R10" s="90"/>
      <c r="S10" s="90"/>
      <c r="T10" s="90"/>
      <c r="U10" s="162">
        <v>4.32</v>
      </c>
      <c r="V10" s="163">
        <v>3.02</v>
      </c>
      <c r="W10" s="163">
        <v>3.32</v>
      </c>
      <c r="X10" s="163">
        <v>4.05</v>
      </c>
      <c r="Y10" s="163">
        <f>AVERAGE(BK10:BN10)</f>
        <v>49</v>
      </c>
      <c r="Z10" s="163">
        <f>AVERAGE(BL10:BO10)</f>
        <v>49</v>
      </c>
      <c r="AA10" s="40"/>
      <c r="AB10" s="90"/>
      <c r="AC10" s="90"/>
      <c r="AD10" s="90"/>
      <c r="AE10" s="90"/>
      <c r="AF10" s="90"/>
      <c r="AG10" s="90"/>
      <c r="AH10" s="90"/>
      <c r="AI10" s="90"/>
      <c r="AJ10" s="90"/>
      <c r="AK10" s="90"/>
      <c r="AL10" s="90"/>
      <c r="AM10" s="90"/>
      <c r="AN10" s="90"/>
      <c r="AO10" s="90"/>
      <c r="AP10" s="90"/>
      <c r="AQ10" s="90"/>
      <c r="AR10" s="90"/>
      <c r="AS10" s="90"/>
      <c r="AT10" s="90"/>
      <c r="AU10" s="90"/>
      <c r="AV10" s="90"/>
      <c r="AW10" s="90"/>
      <c r="AX10" s="90"/>
      <c r="AY10" s="163"/>
      <c r="AZ10" s="163"/>
      <c r="BA10" s="163"/>
      <c r="BB10" s="163"/>
      <c r="BC10" s="163"/>
      <c r="BD10" s="163"/>
      <c r="BE10" s="163"/>
      <c r="BF10" s="163"/>
      <c r="BG10" s="163"/>
      <c r="BH10" s="163"/>
      <c r="BI10" s="163"/>
      <c r="BJ10" s="163"/>
      <c r="BK10" s="163"/>
      <c r="BL10" s="163">
        <v>41</v>
      </c>
      <c r="BM10" s="163">
        <v>57</v>
      </c>
      <c r="BN10" s="163" t="s">
        <v>136</v>
      </c>
      <c r="BO10" s="140"/>
      <c r="BP10" s="140"/>
      <c r="BQ10" s="140"/>
      <c r="BR10" s="140"/>
      <c r="BS10" s="140"/>
      <c r="BT10" s="140"/>
      <c r="BU10" s="140"/>
      <c r="BV10" s="140"/>
      <c r="BW10" s="140"/>
      <c r="BX10" s="140"/>
      <c r="BY10" s="140"/>
      <c r="BZ10" s="140"/>
      <c r="CA10" s="140"/>
      <c r="CB10" s="140"/>
      <c r="CC10" s="140"/>
      <c r="CD10" s="140"/>
      <c r="CE10" s="140"/>
      <c r="CF10" s="140"/>
      <c r="CG10" s="140"/>
      <c r="CH10" s="140"/>
      <c r="CI10" s="140"/>
      <c r="CJ10" s="137"/>
      <c r="CK10" s="140"/>
      <c r="CL10" s="140"/>
      <c r="CM10" s="140"/>
      <c r="CN10" s="140"/>
      <c r="CO10" s="140"/>
      <c r="CP10" s="140"/>
      <c r="CQ10" s="140"/>
      <c r="CR10" s="140"/>
      <c r="CS10" s="140"/>
      <c r="CT10" s="141"/>
      <c r="CU10" s="140"/>
      <c r="CV10" s="88"/>
      <c r="CW10" s="88"/>
      <c r="CX10" s="88"/>
      <c r="CY10" s="88"/>
      <c r="CZ10" s="88"/>
      <c r="DA10" s="88"/>
      <c r="DB10" s="88"/>
      <c r="DC10" s="88"/>
    </row>
    <row r="11" spans="1:110" s="66" customFormat="1" ht="16.5" customHeight="1" x14ac:dyDescent="0.25">
      <c r="A11" s="87" t="s">
        <v>69</v>
      </c>
      <c r="B11" s="8"/>
      <c r="C11" s="89"/>
      <c r="D11" s="90"/>
      <c r="E11" s="90"/>
      <c r="F11" s="90"/>
      <c r="G11" s="90"/>
      <c r="H11" s="90"/>
      <c r="I11" s="90"/>
      <c r="J11" s="90"/>
      <c r="K11" s="90"/>
      <c r="L11" s="90"/>
      <c r="M11" s="90"/>
      <c r="N11" s="90"/>
      <c r="O11" s="90"/>
      <c r="P11" s="90"/>
      <c r="Q11" s="90"/>
      <c r="R11" s="90"/>
      <c r="S11" s="90"/>
      <c r="T11" s="140">
        <v>31</v>
      </c>
      <c r="U11" s="152">
        <v>175</v>
      </c>
      <c r="V11" s="150">
        <v>30</v>
      </c>
      <c r="W11" s="150">
        <v>370</v>
      </c>
      <c r="X11" s="150">
        <v>518</v>
      </c>
      <c r="Y11" s="150">
        <v>599</v>
      </c>
      <c r="Z11" s="150">
        <f>SUM(BN11:BR11)</f>
        <v>266</v>
      </c>
      <c r="AA11" s="13"/>
      <c r="AB11" s="90"/>
      <c r="AC11" s="90"/>
      <c r="AD11" s="90"/>
      <c r="AE11" s="90"/>
      <c r="AF11" s="90"/>
      <c r="AG11" s="90"/>
      <c r="AH11" s="90"/>
      <c r="AI11" s="90"/>
      <c r="AJ11" s="90"/>
      <c r="AK11" s="90"/>
      <c r="AL11" s="90"/>
      <c r="AM11" s="90"/>
      <c r="AN11" s="90"/>
      <c r="AO11" s="90"/>
      <c r="AP11" s="90"/>
      <c r="AQ11" s="90"/>
      <c r="AR11" s="90"/>
      <c r="AS11" s="90"/>
      <c r="AT11" s="90"/>
      <c r="AU11" s="90"/>
      <c r="AV11" s="90"/>
      <c r="AW11" s="91"/>
      <c r="AX11" s="91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>
        <v>123</v>
      </c>
      <c r="BM11" s="140">
        <v>120</v>
      </c>
      <c r="BN11" s="140">
        <v>14</v>
      </c>
      <c r="BO11" s="140">
        <v>129</v>
      </c>
      <c r="BP11" s="140">
        <v>78</v>
      </c>
      <c r="BQ11" s="140">
        <v>31</v>
      </c>
      <c r="BR11" s="140">
        <f>SUM(CQ11:CU11)</f>
        <v>14</v>
      </c>
      <c r="BS11" s="140"/>
      <c r="BT11" s="140"/>
      <c r="BU11" s="140"/>
      <c r="BV11" s="140"/>
      <c r="BW11" s="140"/>
      <c r="BX11" s="140"/>
      <c r="BY11" s="140"/>
      <c r="BZ11" s="140"/>
      <c r="CA11" s="140"/>
      <c r="CB11" s="140"/>
      <c r="CC11" s="140"/>
      <c r="CD11" s="140"/>
      <c r="CE11" s="140"/>
      <c r="CF11" s="140"/>
      <c r="CG11" s="140"/>
      <c r="CH11" s="140"/>
      <c r="CI11" s="140"/>
      <c r="CJ11" s="137"/>
      <c r="CK11" s="140"/>
      <c r="CL11" s="140"/>
      <c r="CM11" s="140"/>
      <c r="CN11" s="140"/>
      <c r="CO11" s="140"/>
      <c r="CP11" s="140"/>
      <c r="CQ11" s="140">
        <v>4</v>
      </c>
      <c r="CR11" s="140">
        <v>5</v>
      </c>
      <c r="CS11" s="140">
        <v>5</v>
      </c>
      <c r="CT11" s="140"/>
      <c r="CU11" s="140"/>
      <c r="CV11" s="88"/>
      <c r="CW11" s="88"/>
      <c r="CX11" s="88"/>
      <c r="CY11" s="88"/>
      <c r="CZ11" s="88"/>
      <c r="DA11" s="88"/>
      <c r="DB11" s="88"/>
      <c r="DC11" s="88"/>
    </row>
    <row r="12" spans="1:110" s="66" customFormat="1" ht="23.25" x14ac:dyDescent="0.25">
      <c r="A12" s="87" t="s">
        <v>117</v>
      </c>
      <c r="B12" s="8"/>
      <c r="C12" s="47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9"/>
      <c r="O12" s="50"/>
      <c r="P12" s="90"/>
      <c r="Q12" s="90"/>
      <c r="R12" s="90"/>
      <c r="S12" s="140">
        <v>787</v>
      </c>
      <c r="T12" s="140">
        <v>624</v>
      </c>
      <c r="U12" s="152">
        <v>562</v>
      </c>
      <c r="V12" s="150">
        <v>1060</v>
      </c>
      <c r="W12" s="150">
        <v>1241</v>
      </c>
      <c r="X12" s="150">
        <v>1163</v>
      </c>
      <c r="Y12" s="150">
        <v>1660</v>
      </c>
      <c r="Z12" s="150">
        <f>SUM(BN12:BR12)</f>
        <v>865</v>
      </c>
      <c r="AA12" s="13"/>
      <c r="AB12" s="90"/>
      <c r="AC12" s="90"/>
      <c r="AD12" s="90"/>
      <c r="AE12" s="90"/>
      <c r="AF12" s="90"/>
      <c r="AG12" s="90"/>
      <c r="AH12" s="90"/>
      <c r="AI12" s="90"/>
      <c r="AJ12" s="90"/>
      <c r="AK12" s="90"/>
      <c r="AL12" s="90"/>
      <c r="AM12" s="90"/>
      <c r="AN12" s="90"/>
      <c r="AO12" s="90"/>
      <c r="AP12" s="90"/>
      <c r="AQ12" s="90"/>
      <c r="AR12" s="90"/>
      <c r="AS12" s="90"/>
      <c r="AT12" s="90"/>
      <c r="AU12" s="90"/>
      <c r="AV12" s="90"/>
      <c r="AW12" s="91"/>
      <c r="AX12" s="91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>
        <v>285</v>
      </c>
      <c r="BM12" s="140">
        <v>327</v>
      </c>
      <c r="BN12" s="140">
        <v>38</v>
      </c>
      <c r="BO12" s="140">
        <v>217</v>
      </c>
      <c r="BP12" s="140">
        <v>261</v>
      </c>
      <c r="BQ12" s="140">
        <v>228</v>
      </c>
      <c r="BR12" s="140">
        <f>SUM(CQ12:CU12)</f>
        <v>121</v>
      </c>
      <c r="BS12" s="140"/>
      <c r="BT12" s="140"/>
      <c r="BU12" s="140"/>
      <c r="BV12" s="140"/>
      <c r="BW12" s="140"/>
      <c r="BX12" s="140"/>
      <c r="BY12" s="140"/>
      <c r="BZ12" s="140"/>
      <c r="CA12" s="140"/>
      <c r="CB12" s="140"/>
      <c r="CC12" s="140"/>
      <c r="CD12" s="140"/>
      <c r="CE12" s="140"/>
      <c r="CF12" s="140"/>
      <c r="CG12" s="140"/>
      <c r="CH12" s="140"/>
      <c r="CI12" s="140"/>
      <c r="CJ12" s="137"/>
      <c r="CK12" s="140"/>
      <c r="CL12" s="140"/>
      <c r="CM12" s="140"/>
      <c r="CN12" s="140"/>
      <c r="CO12" s="140"/>
      <c r="CP12" s="140"/>
      <c r="CQ12" s="140">
        <v>31</v>
      </c>
      <c r="CR12" s="140">
        <v>41</v>
      </c>
      <c r="CS12" s="140">
        <v>49</v>
      </c>
      <c r="CT12" s="140"/>
      <c r="CU12" s="140"/>
      <c r="CV12" s="88"/>
      <c r="CW12" s="88"/>
      <c r="CX12" s="88"/>
      <c r="CY12" s="88"/>
      <c r="CZ12" s="88"/>
      <c r="DA12" s="88"/>
      <c r="DB12" s="88"/>
      <c r="DC12" s="88"/>
    </row>
    <row r="13" spans="1:110" s="66" customFormat="1" ht="23.25" x14ac:dyDescent="0.25">
      <c r="A13" s="44" t="s">
        <v>66</v>
      </c>
      <c r="B13" s="8"/>
      <c r="C13" s="35"/>
      <c r="D13" s="36"/>
      <c r="E13" s="36"/>
      <c r="F13" s="36"/>
      <c r="G13" s="36"/>
      <c r="H13" s="36"/>
      <c r="I13" s="36"/>
      <c r="J13" s="45">
        <v>3784</v>
      </c>
      <c r="K13" s="45">
        <v>1800</v>
      </c>
      <c r="L13" s="45">
        <v>1000</v>
      </c>
      <c r="M13" s="45">
        <v>713</v>
      </c>
      <c r="N13" s="45">
        <v>708</v>
      </c>
      <c r="O13" s="46"/>
      <c r="P13" s="67"/>
      <c r="Q13" s="67">
        <v>0.69</v>
      </c>
      <c r="R13" s="67">
        <v>0.85</v>
      </c>
      <c r="S13" s="67">
        <v>0.93</v>
      </c>
      <c r="T13" s="67">
        <v>0.93</v>
      </c>
      <c r="U13" s="153">
        <v>0.97</v>
      </c>
      <c r="V13" s="148">
        <v>0.95</v>
      </c>
      <c r="W13" s="148">
        <v>0.92479999999999996</v>
      </c>
      <c r="X13" s="148">
        <v>0.92047500000000004</v>
      </c>
      <c r="Y13" s="148">
        <v>0.94399999999999995</v>
      </c>
      <c r="Z13" s="148">
        <f>AVERAGE(BN13:BR13)</f>
        <v>0.93493333333333339</v>
      </c>
      <c r="AA13" s="155"/>
      <c r="AB13" s="67"/>
      <c r="AC13" s="67"/>
      <c r="AD13" s="67"/>
      <c r="AE13" s="67"/>
      <c r="AF13" s="67"/>
      <c r="AG13" s="67"/>
      <c r="AH13" s="67"/>
      <c r="AI13" s="67"/>
      <c r="AJ13" s="67"/>
      <c r="AK13" s="67"/>
      <c r="AL13" s="67"/>
      <c r="AM13" s="67"/>
      <c r="AN13" s="67"/>
      <c r="AO13" s="67"/>
      <c r="AP13" s="67"/>
      <c r="AQ13" s="67"/>
      <c r="AR13" s="67"/>
      <c r="AS13" s="67"/>
      <c r="AT13" s="67"/>
      <c r="AU13" s="67"/>
      <c r="AV13" s="67">
        <v>610</v>
      </c>
      <c r="AW13" s="67"/>
      <c r="AX13" s="69"/>
      <c r="AY13" s="136">
        <v>569</v>
      </c>
      <c r="AZ13" s="136">
        <v>465</v>
      </c>
      <c r="BA13" s="136">
        <v>531</v>
      </c>
      <c r="BB13" s="136"/>
      <c r="BC13" s="136">
        <v>534</v>
      </c>
      <c r="BD13" s="136"/>
      <c r="BE13" s="136">
        <v>418</v>
      </c>
      <c r="BF13" s="136">
        <v>380</v>
      </c>
      <c r="BG13" s="136">
        <v>330</v>
      </c>
      <c r="BH13" s="136">
        <v>437</v>
      </c>
      <c r="BI13" s="136">
        <f>AVERAGE(BS13:BW13)</f>
        <v>358</v>
      </c>
      <c r="BJ13" s="136">
        <f>AVERAGE(BY13:CC13)</f>
        <v>273.33333333333331</v>
      </c>
      <c r="BK13" s="136">
        <f>AVERAGE(CE13:CI13)</f>
        <v>258</v>
      </c>
      <c r="BL13" s="136">
        <v>0.96699999999999997</v>
      </c>
      <c r="BM13" s="136"/>
      <c r="BN13" s="136">
        <v>0.85</v>
      </c>
      <c r="BO13" s="136">
        <v>0.94</v>
      </c>
      <c r="BP13" s="136">
        <v>0.95</v>
      </c>
      <c r="BQ13" s="136">
        <v>0.95799999999999996</v>
      </c>
      <c r="BR13" s="136">
        <f>AVERAGE(CQ13:CU13)</f>
        <v>0.97666666666666657</v>
      </c>
      <c r="BS13" s="136">
        <v>430</v>
      </c>
      <c r="BT13" s="136">
        <v>410</v>
      </c>
      <c r="BU13" s="136">
        <v>310</v>
      </c>
      <c r="BV13" s="136">
        <v>300</v>
      </c>
      <c r="BW13" s="136">
        <v>340</v>
      </c>
      <c r="BX13" s="136"/>
      <c r="BY13" s="136">
        <v>250</v>
      </c>
      <c r="BZ13" s="136">
        <v>260</v>
      </c>
      <c r="CA13" s="136">
        <v>310</v>
      </c>
      <c r="CB13" s="136"/>
      <c r="CC13" s="136"/>
      <c r="CD13" s="137"/>
      <c r="CE13" s="136">
        <v>310</v>
      </c>
      <c r="CF13" s="136">
        <v>290</v>
      </c>
      <c r="CG13" s="136">
        <v>240</v>
      </c>
      <c r="CH13" s="136">
        <v>270</v>
      </c>
      <c r="CI13" s="136">
        <v>180</v>
      </c>
      <c r="CJ13" s="137"/>
      <c r="CK13" s="136">
        <v>170</v>
      </c>
      <c r="CL13" s="136"/>
      <c r="CM13" s="136"/>
      <c r="CN13" s="136"/>
      <c r="CO13" s="136"/>
      <c r="CP13" s="137"/>
      <c r="CQ13" s="136">
        <v>0.97</v>
      </c>
      <c r="CR13" s="136">
        <v>0.97</v>
      </c>
      <c r="CS13" s="136">
        <v>0.99</v>
      </c>
      <c r="CT13" s="136"/>
      <c r="CU13" s="136"/>
      <c r="CV13" s="70"/>
      <c r="CW13" s="70"/>
      <c r="CX13" s="70"/>
      <c r="CY13" s="70"/>
      <c r="CZ13" s="70"/>
      <c r="DA13" s="70"/>
      <c r="DB13" s="70"/>
      <c r="DC13" s="70"/>
      <c r="DD13" s="77"/>
      <c r="DE13" s="77"/>
      <c r="DF13" s="77"/>
    </row>
    <row r="14" spans="1:110" s="66" customFormat="1" ht="23.25" x14ac:dyDescent="0.25">
      <c r="A14" s="44" t="s">
        <v>119</v>
      </c>
      <c r="B14" s="8"/>
      <c r="C14" s="35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7"/>
      <c r="P14" s="36"/>
      <c r="Q14" s="67"/>
      <c r="R14" s="67"/>
      <c r="S14" s="67">
        <v>0.53</v>
      </c>
      <c r="T14" s="67">
        <v>0.56999999999999995</v>
      </c>
      <c r="U14" s="68">
        <v>0.41533333333333333</v>
      </c>
      <c r="V14" s="67">
        <v>0.8</v>
      </c>
      <c r="W14" s="148">
        <v>0.55000000000000004</v>
      </c>
      <c r="X14" s="148">
        <v>0.39097499999999996</v>
      </c>
      <c r="Y14" s="148">
        <v>0.37309999999999999</v>
      </c>
      <c r="Z14" s="148">
        <f>AVERAGE(BN14:BR14)</f>
        <v>0.85</v>
      </c>
      <c r="AA14" s="13"/>
      <c r="AB14" s="73"/>
      <c r="AC14" s="72"/>
      <c r="AD14" s="72"/>
      <c r="AE14" s="72"/>
      <c r="AF14" s="72"/>
      <c r="AG14" s="72"/>
      <c r="AH14" s="72"/>
      <c r="AI14" s="72"/>
      <c r="AJ14" s="72"/>
      <c r="AK14" s="72"/>
      <c r="AL14" s="72"/>
      <c r="AM14" s="72"/>
      <c r="AN14" s="72"/>
      <c r="AO14" s="72"/>
      <c r="AP14" s="72"/>
      <c r="AQ14" s="72"/>
      <c r="AR14" s="72"/>
      <c r="AS14" s="72"/>
      <c r="AT14" s="72"/>
      <c r="AU14" s="72"/>
      <c r="AV14" s="72"/>
      <c r="AW14" s="19"/>
      <c r="AX14" s="10"/>
      <c r="AY14" s="142"/>
      <c r="AZ14" s="142"/>
      <c r="BA14" s="142"/>
      <c r="BB14" s="142"/>
      <c r="BC14" s="142"/>
      <c r="BD14" s="142"/>
      <c r="BE14" s="142"/>
      <c r="BF14" s="142"/>
      <c r="BG14" s="142"/>
      <c r="BH14" s="142"/>
      <c r="BI14" s="142"/>
      <c r="BJ14" s="142"/>
      <c r="BK14" s="142"/>
      <c r="BL14" s="136">
        <v>0.43580000000000002</v>
      </c>
      <c r="BM14" s="136"/>
      <c r="BN14" s="136">
        <v>0.85</v>
      </c>
      <c r="BO14" s="136"/>
      <c r="BP14" s="136"/>
      <c r="BQ14" s="136"/>
      <c r="BR14" s="136"/>
      <c r="BS14" s="142"/>
      <c r="BT14" s="142"/>
      <c r="BU14" s="142"/>
      <c r="BV14" s="142"/>
      <c r="BW14" s="142"/>
      <c r="BX14" s="142"/>
      <c r="BY14" s="142"/>
      <c r="BZ14" s="142"/>
      <c r="CA14" s="142"/>
      <c r="CB14" s="142"/>
      <c r="CC14" s="142"/>
      <c r="CD14" s="143"/>
      <c r="CE14" s="142"/>
      <c r="CF14" s="142"/>
      <c r="CG14" s="142"/>
      <c r="CH14" s="142"/>
      <c r="CI14" s="142"/>
      <c r="CJ14" s="137"/>
      <c r="CK14" s="142"/>
      <c r="CL14" s="142"/>
      <c r="CM14" s="142"/>
      <c r="CN14" s="142"/>
      <c r="CO14" s="142"/>
      <c r="CP14" s="142"/>
      <c r="CQ14" s="136"/>
      <c r="CR14" s="136"/>
      <c r="CS14" s="136"/>
      <c r="CT14" s="136"/>
      <c r="CU14" s="136"/>
      <c r="CV14" s="74"/>
      <c r="CW14" s="74"/>
      <c r="CX14" s="74"/>
      <c r="CY14" s="74"/>
      <c r="CZ14" s="74"/>
      <c r="DA14" s="74"/>
      <c r="DB14" s="74"/>
      <c r="DC14" s="74"/>
    </row>
    <row r="15" spans="1:110" x14ac:dyDescent="0.25">
      <c r="B15" s="8"/>
      <c r="C15" s="58"/>
      <c r="D15" s="59"/>
      <c r="E15" s="59"/>
      <c r="F15" s="59"/>
      <c r="G15" s="59"/>
      <c r="H15" s="59"/>
      <c r="I15" s="59"/>
      <c r="J15" s="59"/>
      <c r="K15" s="59"/>
      <c r="L15" s="59"/>
      <c r="M15" s="59"/>
      <c r="N15" s="60"/>
      <c r="O15" s="37"/>
      <c r="P15" s="62"/>
      <c r="Q15" s="62"/>
      <c r="R15" s="63"/>
      <c r="S15" s="52"/>
      <c r="T15" s="52"/>
      <c r="U15" s="52"/>
      <c r="V15" s="60"/>
      <c r="W15" s="60"/>
      <c r="X15" s="52"/>
      <c r="Y15" s="52"/>
      <c r="Z15" s="52"/>
      <c r="AA15" s="13"/>
      <c r="AB15" s="28"/>
      <c r="AC15" s="29"/>
      <c r="AD15" s="29"/>
      <c r="AE15" s="29"/>
      <c r="AF15" s="29"/>
      <c r="AG15" s="30"/>
      <c r="AH15" s="30"/>
      <c r="AI15" s="30"/>
      <c r="AJ15" s="30"/>
      <c r="AK15" s="29"/>
      <c r="AL15" s="29"/>
      <c r="AM15" s="29"/>
      <c r="AN15" s="29"/>
      <c r="AO15" s="29"/>
      <c r="AP15" s="78"/>
      <c r="AQ15" s="79"/>
      <c r="AR15" s="79"/>
      <c r="AS15" s="79"/>
      <c r="AT15" s="29"/>
      <c r="AU15" s="29"/>
      <c r="AV15" s="29"/>
      <c r="AW15" s="32"/>
      <c r="AX15" s="25"/>
      <c r="AY15" s="32"/>
      <c r="AZ15" s="32"/>
      <c r="BA15" s="32"/>
      <c r="BB15" s="32"/>
      <c r="BC15" s="32"/>
      <c r="BD15" s="32"/>
      <c r="BE15" s="32"/>
      <c r="BF15" s="32"/>
      <c r="CD15" s="113"/>
      <c r="CJ15" s="137"/>
    </row>
    <row r="16" spans="1:110" ht="23.25" x14ac:dyDescent="0.25">
      <c r="A16" s="44" t="s">
        <v>67</v>
      </c>
      <c r="B16" s="8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67"/>
      <c r="Q16" s="67"/>
      <c r="R16" s="67"/>
      <c r="S16" s="67">
        <v>0.93</v>
      </c>
      <c r="T16" s="67">
        <v>0.94</v>
      </c>
      <c r="U16" s="153">
        <v>0.97</v>
      </c>
      <c r="V16" s="148">
        <v>0.97</v>
      </c>
      <c r="W16" s="148"/>
      <c r="X16" s="160"/>
      <c r="Y16" s="160"/>
      <c r="Z16" s="160"/>
      <c r="AA16" s="155"/>
      <c r="AB16" s="67" t="s">
        <v>70</v>
      </c>
      <c r="AC16" s="67" t="s">
        <v>71</v>
      </c>
      <c r="AD16" s="67" t="s">
        <v>72</v>
      </c>
      <c r="AE16" s="67" t="s">
        <v>73</v>
      </c>
      <c r="AF16" s="67" t="s">
        <v>74</v>
      </c>
      <c r="AG16" s="67" t="s">
        <v>75</v>
      </c>
      <c r="AH16" s="67" t="s">
        <v>76</v>
      </c>
      <c r="AI16" s="67" t="s">
        <v>77</v>
      </c>
      <c r="AJ16" s="67" t="s">
        <v>78</v>
      </c>
      <c r="AK16" s="67" t="s">
        <v>79</v>
      </c>
      <c r="AL16" s="67" t="s">
        <v>80</v>
      </c>
      <c r="AM16" s="67" t="s">
        <v>81</v>
      </c>
      <c r="AN16" s="67" t="s">
        <v>82</v>
      </c>
      <c r="AO16" s="67" t="s">
        <v>83</v>
      </c>
      <c r="AP16" s="67" t="s">
        <v>84</v>
      </c>
      <c r="AQ16" s="67" t="s">
        <v>85</v>
      </c>
      <c r="AR16" s="67" t="s">
        <v>86</v>
      </c>
      <c r="AS16" s="67" t="s">
        <v>87</v>
      </c>
      <c r="AT16" s="67" t="s">
        <v>88</v>
      </c>
      <c r="AU16" s="67" t="s">
        <v>89</v>
      </c>
      <c r="AV16" s="67" t="s">
        <v>90</v>
      </c>
      <c r="AW16" s="67" t="s">
        <v>91</v>
      </c>
      <c r="AX16" s="69" t="s">
        <v>92</v>
      </c>
      <c r="AY16" s="136" t="s">
        <v>93</v>
      </c>
      <c r="AZ16" s="136" t="s">
        <v>94</v>
      </c>
      <c r="BA16" s="136" t="s">
        <v>95</v>
      </c>
      <c r="BB16" s="136" t="s">
        <v>96</v>
      </c>
      <c r="BC16" s="136" t="s">
        <v>97</v>
      </c>
      <c r="BD16" s="136" t="s">
        <v>98</v>
      </c>
      <c r="BE16" s="136" t="s">
        <v>99</v>
      </c>
      <c r="BF16" s="136" t="s">
        <v>100</v>
      </c>
      <c r="BG16" s="136" t="s">
        <v>101</v>
      </c>
      <c r="BH16" s="136" t="s">
        <v>102</v>
      </c>
      <c r="BI16" s="136" t="s">
        <v>103</v>
      </c>
      <c r="BJ16" s="136" t="s">
        <v>104</v>
      </c>
      <c r="BK16" s="136" t="s">
        <v>105</v>
      </c>
      <c r="BL16" s="149"/>
      <c r="BM16" s="149"/>
      <c r="BN16" s="136"/>
      <c r="BO16" s="136"/>
      <c r="BP16" s="136"/>
      <c r="BQ16" s="136"/>
      <c r="BR16" s="136"/>
      <c r="BS16" s="136"/>
      <c r="BT16" s="136"/>
      <c r="BU16" s="136"/>
      <c r="BV16" s="136"/>
      <c r="BW16" s="136"/>
      <c r="BX16" s="136"/>
      <c r="BY16" s="136"/>
      <c r="BZ16" s="136"/>
      <c r="CA16" s="136"/>
      <c r="CB16" s="136"/>
      <c r="CC16" s="136"/>
      <c r="CD16" s="137"/>
      <c r="CE16" s="136"/>
      <c r="CF16" s="136"/>
      <c r="CG16" s="136"/>
      <c r="CH16" s="136"/>
      <c r="CI16" s="136"/>
      <c r="CJ16" s="137"/>
      <c r="CK16" s="136"/>
      <c r="CL16" s="136"/>
      <c r="CM16" s="136"/>
      <c r="CN16" s="136"/>
      <c r="CO16" s="136"/>
      <c r="CP16" s="137"/>
      <c r="CQ16" s="136"/>
      <c r="CR16" s="136"/>
      <c r="CS16" s="136"/>
      <c r="CT16" s="136"/>
      <c r="CU16" s="136"/>
      <c r="CV16" s="70"/>
      <c r="CW16" s="70"/>
      <c r="CX16" s="70"/>
      <c r="CY16" s="70"/>
      <c r="CZ16" s="70"/>
      <c r="DA16" s="70"/>
      <c r="DB16" s="70"/>
      <c r="DC16" s="70"/>
    </row>
    <row r="17" spans="1:127" ht="23.25" x14ac:dyDescent="0.25">
      <c r="A17" s="44" t="s">
        <v>68</v>
      </c>
      <c r="B17" s="8"/>
      <c r="C17" s="58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60"/>
      <c r="O17" s="61"/>
      <c r="P17" s="67"/>
      <c r="Q17" s="67"/>
      <c r="R17" s="67"/>
      <c r="S17" s="67">
        <v>0.92</v>
      </c>
      <c r="T17" s="67">
        <v>0.92</v>
      </c>
      <c r="U17" s="153">
        <v>0.96</v>
      </c>
      <c r="V17" s="148">
        <v>0.93</v>
      </c>
      <c r="W17" s="148"/>
      <c r="X17" s="160"/>
      <c r="Y17" s="160"/>
      <c r="Z17" s="160"/>
      <c r="AA17" s="155"/>
      <c r="AB17" s="67"/>
      <c r="AC17" s="67"/>
      <c r="AD17" s="67"/>
      <c r="AE17" s="67"/>
      <c r="AF17" s="67"/>
      <c r="AG17" s="67"/>
      <c r="AH17" s="67"/>
      <c r="AI17" s="67"/>
      <c r="AJ17" s="67"/>
      <c r="AK17" s="67"/>
      <c r="AL17" s="67"/>
      <c r="AM17" s="67"/>
      <c r="AN17" s="67"/>
      <c r="AO17" s="67"/>
      <c r="AP17" s="67"/>
      <c r="AQ17" s="67"/>
      <c r="AR17" s="67"/>
      <c r="AS17" s="67"/>
      <c r="AT17" s="67"/>
      <c r="AU17" s="67"/>
      <c r="AV17" s="67"/>
      <c r="AW17" s="67"/>
      <c r="AX17" s="69"/>
      <c r="AY17" s="136"/>
      <c r="AZ17" s="136"/>
      <c r="BA17" s="136"/>
      <c r="BB17" s="136"/>
      <c r="BC17" s="136"/>
      <c r="BD17" s="136"/>
      <c r="BE17" s="136"/>
      <c r="BF17" s="136"/>
      <c r="BG17" s="136"/>
      <c r="BH17" s="136"/>
      <c r="BI17" s="136"/>
      <c r="BJ17" s="136"/>
      <c r="BK17" s="136"/>
      <c r="BL17" s="149"/>
      <c r="BM17" s="149"/>
      <c r="BN17" s="136"/>
      <c r="BO17" s="136"/>
      <c r="BP17" s="136"/>
      <c r="BQ17" s="136"/>
      <c r="BR17" s="136"/>
      <c r="BS17" s="136"/>
      <c r="BT17" s="136"/>
      <c r="BU17" s="136"/>
      <c r="BV17" s="136"/>
      <c r="BW17" s="136"/>
      <c r="BX17" s="136"/>
      <c r="BY17" s="136"/>
      <c r="BZ17" s="136"/>
      <c r="CA17" s="136"/>
      <c r="CB17" s="136"/>
      <c r="CC17" s="136"/>
      <c r="CD17" s="137"/>
      <c r="CE17" s="136"/>
      <c r="CF17" s="136"/>
      <c r="CG17" s="136"/>
      <c r="CH17" s="136"/>
      <c r="CI17" s="136"/>
      <c r="CJ17" s="137"/>
      <c r="CK17" s="136"/>
      <c r="CL17" s="136"/>
      <c r="CM17" s="136"/>
      <c r="CN17" s="136"/>
      <c r="CO17" s="136"/>
      <c r="CP17" s="137"/>
      <c r="CQ17" s="136"/>
      <c r="CR17" s="136"/>
      <c r="CS17" s="136"/>
      <c r="CT17" s="136"/>
      <c r="CU17" s="136"/>
      <c r="CV17" s="70"/>
      <c r="CW17" s="70"/>
      <c r="CX17" s="70"/>
      <c r="CY17" s="70"/>
      <c r="CZ17" s="70"/>
      <c r="DA17" s="70"/>
      <c r="DB17" s="70"/>
      <c r="DC17" s="70"/>
    </row>
    <row r="18" spans="1:127" ht="23.25" x14ac:dyDescent="0.25">
      <c r="A18" s="87" t="s">
        <v>124</v>
      </c>
      <c r="B18" s="8"/>
      <c r="C18" s="89"/>
      <c r="D18" s="90"/>
      <c r="E18" s="90"/>
      <c r="F18" s="90"/>
      <c r="G18" s="90"/>
      <c r="H18" s="90"/>
      <c r="I18" s="90"/>
      <c r="J18" s="90"/>
      <c r="K18" s="90"/>
      <c r="L18" s="90"/>
      <c r="M18" s="90"/>
      <c r="N18" s="90"/>
      <c r="O18" s="90"/>
      <c r="P18" s="90"/>
      <c r="Q18" s="90"/>
      <c r="R18" s="90"/>
      <c r="S18" s="90"/>
      <c r="T18" s="163">
        <v>4.0599999999999996</v>
      </c>
      <c r="U18" s="162">
        <v>3.33</v>
      </c>
      <c r="V18" s="163">
        <v>1.02</v>
      </c>
      <c r="W18" s="163">
        <v>1.48</v>
      </c>
      <c r="X18" s="164">
        <v>2.2599999999999998</v>
      </c>
      <c r="Y18" s="164">
        <f>AVERAGE(BK18:BO18)</f>
        <v>25</v>
      </c>
      <c r="Z18" s="164">
        <f>AVERAGE(BL18:BR18)</f>
        <v>25</v>
      </c>
      <c r="AA18" s="165"/>
      <c r="AB18" s="90"/>
      <c r="AC18" s="90"/>
      <c r="AD18" s="90"/>
      <c r="AE18" s="90"/>
      <c r="AF18" s="90"/>
      <c r="AG18" s="90"/>
      <c r="AH18" s="90"/>
      <c r="AI18" s="90"/>
      <c r="AJ18" s="90"/>
      <c r="AK18" s="90"/>
      <c r="AL18" s="90"/>
      <c r="AM18" s="90"/>
      <c r="AN18" s="90"/>
      <c r="AO18" s="90"/>
      <c r="AP18" s="90"/>
      <c r="AQ18" s="90"/>
      <c r="AR18" s="90"/>
      <c r="AS18" s="90"/>
      <c r="AT18" s="90"/>
      <c r="AU18" s="90"/>
      <c r="AV18" s="90"/>
      <c r="AW18" s="90"/>
      <c r="AX18" s="90"/>
      <c r="AY18" s="163"/>
      <c r="AZ18" s="163"/>
      <c r="BA18" s="163"/>
      <c r="BB18" s="163"/>
      <c r="BC18" s="163"/>
      <c r="BD18" s="163"/>
      <c r="BE18" s="163"/>
      <c r="BF18" s="163"/>
      <c r="BG18" s="163"/>
      <c r="BH18" s="163"/>
      <c r="BI18" s="163"/>
      <c r="BJ18" s="163"/>
      <c r="BK18" s="163"/>
      <c r="BL18" s="163">
        <v>25</v>
      </c>
      <c r="BM18" s="163"/>
      <c r="BN18" s="163"/>
      <c r="BO18" s="163"/>
      <c r="BP18" s="163"/>
      <c r="BQ18" s="163"/>
      <c r="BR18" s="140"/>
      <c r="BS18" s="140"/>
      <c r="BT18" s="140"/>
      <c r="BU18" s="140"/>
      <c r="BV18" s="140"/>
      <c r="BW18" s="140"/>
      <c r="BX18" s="140"/>
      <c r="BY18" s="140"/>
      <c r="BZ18" s="140"/>
      <c r="CA18" s="140"/>
      <c r="CB18" s="140"/>
      <c r="CC18" s="140"/>
      <c r="CD18" s="140"/>
      <c r="CE18" s="140"/>
      <c r="CF18" s="140"/>
      <c r="CG18" s="140"/>
      <c r="CH18" s="140"/>
      <c r="CI18" s="140"/>
      <c r="CJ18" s="137"/>
      <c r="CK18" s="140"/>
      <c r="CL18" s="140"/>
      <c r="CM18" s="140"/>
      <c r="CN18" s="140"/>
      <c r="CO18" s="140"/>
      <c r="CP18" s="140"/>
      <c r="CQ18" s="140"/>
      <c r="CR18" s="140"/>
      <c r="CS18" s="140"/>
      <c r="CT18" s="141"/>
      <c r="CU18" s="140"/>
      <c r="CV18" s="88"/>
      <c r="CW18" s="88"/>
      <c r="CX18" s="88"/>
      <c r="CY18" s="88"/>
      <c r="CZ18" s="88"/>
      <c r="DA18" s="88"/>
      <c r="DB18" s="88"/>
      <c r="DC18" s="88"/>
    </row>
    <row r="19" spans="1:127" ht="23.25" x14ac:dyDescent="0.25">
      <c r="A19" s="87" t="s">
        <v>106</v>
      </c>
      <c r="B19" s="8"/>
      <c r="C19" s="89"/>
      <c r="D19" s="90"/>
      <c r="E19" s="90"/>
      <c r="F19" s="90"/>
      <c r="G19" s="90"/>
      <c r="H19" s="90"/>
      <c r="I19" s="90"/>
      <c r="J19" s="90"/>
      <c r="K19" s="90"/>
      <c r="L19" s="90"/>
      <c r="M19" s="90"/>
      <c r="N19" s="90"/>
      <c r="O19" s="90"/>
      <c r="P19" s="90"/>
      <c r="Q19" s="90"/>
      <c r="R19" s="90"/>
      <c r="S19" s="90"/>
      <c r="T19" s="90" t="s">
        <v>121</v>
      </c>
      <c r="U19" s="154" t="s">
        <v>126</v>
      </c>
      <c r="V19" s="157" t="s">
        <v>128</v>
      </c>
      <c r="W19" s="147">
        <v>1251</v>
      </c>
      <c r="X19" s="161">
        <v>1512</v>
      </c>
      <c r="Y19" s="161">
        <v>599</v>
      </c>
      <c r="Z19" s="161">
        <v>599</v>
      </c>
      <c r="AA19" s="156"/>
      <c r="AB19" s="90"/>
      <c r="AC19" s="90"/>
      <c r="AD19" s="90"/>
      <c r="AE19" s="90"/>
      <c r="AF19" s="90"/>
      <c r="AG19" s="90"/>
      <c r="AH19" s="90"/>
      <c r="AI19" s="90"/>
      <c r="AJ19" s="90"/>
      <c r="AK19" s="90"/>
      <c r="AL19" s="90"/>
      <c r="AM19" s="90"/>
      <c r="AN19" s="90"/>
      <c r="AO19" s="90"/>
      <c r="AP19" s="90"/>
      <c r="AQ19" s="90"/>
      <c r="AR19" s="90"/>
      <c r="AS19" s="90"/>
      <c r="AT19" s="90"/>
      <c r="AU19" s="90"/>
      <c r="AV19" s="90"/>
      <c r="AW19" s="91"/>
      <c r="AX19" s="91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59">
        <v>123</v>
      </c>
      <c r="BM19" s="159"/>
      <c r="BN19" s="159">
        <v>59</v>
      </c>
      <c r="BO19" s="159">
        <v>29</v>
      </c>
      <c r="BP19" s="159">
        <v>15</v>
      </c>
      <c r="BQ19" s="159">
        <v>17</v>
      </c>
      <c r="BR19" s="140">
        <f>SUM(CQ19:CU19)</f>
        <v>5</v>
      </c>
      <c r="BS19" s="140"/>
      <c r="BT19" s="140"/>
      <c r="BU19" s="140"/>
      <c r="BV19" s="140"/>
      <c r="BW19" s="140"/>
      <c r="BX19" s="140"/>
      <c r="BY19" s="140"/>
      <c r="BZ19" s="140"/>
      <c r="CA19" s="140"/>
      <c r="CB19" s="140"/>
      <c r="CC19" s="140"/>
      <c r="CD19" s="140"/>
      <c r="CE19" s="140"/>
      <c r="CF19" s="140"/>
      <c r="CG19" s="140"/>
      <c r="CH19" s="140"/>
      <c r="CI19" s="140"/>
      <c r="CJ19" s="137"/>
      <c r="CK19" s="140"/>
      <c r="CL19" s="140"/>
      <c r="CM19" s="140"/>
      <c r="CN19" s="140"/>
      <c r="CO19" s="140"/>
      <c r="CP19" s="140"/>
      <c r="CQ19" s="140">
        <v>1</v>
      </c>
      <c r="CR19" s="140">
        <v>3</v>
      </c>
      <c r="CS19" s="140">
        <v>1</v>
      </c>
      <c r="CT19" s="140"/>
      <c r="CU19" s="140"/>
      <c r="CV19" s="88"/>
      <c r="CW19" s="88"/>
      <c r="CX19" s="88"/>
      <c r="CY19" s="88"/>
      <c r="CZ19" s="88"/>
      <c r="DA19" s="88"/>
      <c r="DB19" s="88"/>
      <c r="DC19" s="88"/>
    </row>
    <row r="20" spans="1:127" s="65" customFormat="1" ht="21.75" customHeight="1" x14ac:dyDescent="0.25">
      <c r="A20" s="87" t="s">
        <v>117</v>
      </c>
      <c r="B20" s="93"/>
      <c r="C20" s="58"/>
      <c r="D20" s="64"/>
      <c r="E20" s="64"/>
      <c r="F20" s="59"/>
      <c r="G20" s="59"/>
      <c r="H20" s="59"/>
      <c r="I20" s="59"/>
      <c r="J20" s="59"/>
      <c r="K20" s="59"/>
      <c r="L20" s="59"/>
      <c r="M20" s="59"/>
      <c r="N20" s="60"/>
      <c r="O20" s="37"/>
      <c r="P20" s="90"/>
      <c r="Q20" s="90"/>
      <c r="R20" s="90"/>
      <c r="S20" s="90" t="s">
        <v>118</v>
      </c>
      <c r="T20" s="90" t="s">
        <v>122</v>
      </c>
      <c r="U20" s="154" t="s">
        <v>125</v>
      </c>
      <c r="V20" s="147" t="s">
        <v>129</v>
      </c>
      <c r="W20" s="147">
        <v>2701</v>
      </c>
      <c r="X20" s="161">
        <v>2500</v>
      </c>
      <c r="Y20" s="161">
        <v>954</v>
      </c>
      <c r="Z20" s="161">
        <v>954</v>
      </c>
      <c r="AA20" s="156"/>
      <c r="AB20" s="90"/>
      <c r="AC20" s="90"/>
      <c r="AD20" s="90"/>
      <c r="AE20" s="90"/>
      <c r="AF20" s="90"/>
      <c r="AG20" s="90"/>
      <c r="AH20" s="90"/>
      <c r="AI20" s="90"/>
      <c r="AJ20" s="90"/>
      <c r="AK20" s="90"/>
      <c r="AL20" s="90"/>
      <c r="AM20" s="90"/>
      <c r="AN20" s="90"/>
      <c r="AO20" s="90"/>
      <c r="AP20" s="90"/>
      <c r="AQ20" s="90"/>
      <c r="AR20" s="90"/>
      <c r="AS20" s="90"/>
      <c r="AT20" s="90"/>
      <c r="AU20" s="90"/>
      <c r="AV20" s="90"/>
      <c r="AW20" s="91"/>
      <c r="AX20" s="91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>
        <v>218</v>
      </c>
      <c r="BM20" s="140"/>
      <c r="BN20" s="159">
        <v>403</v>
      </c>
      <c r="BO20" s="159">
        <v>491</v>
      </c>
      <c r="BP20" s="159">
        <v>314</v>
      </c>
      <c r="BQ20" s="159">
        <v>406</v>
      </c>
      <c r="BR20" s="140">
        <f>SUM(CQ20:CU20)</f>
        <v>231</v>
      </c>
      <c r="BS20" s="140"/>
      <c r="BT20" s="140"/>
      <c r="BU20" s="140"/>
      <c r="BV20" s="140"/>
      <c r="BW20" s="140"/>
      <c r="BX20" s="140"/>
      <c r="BY20" s="140"/>
      <c r="BZ20" s="140"/>
      <c r="CA20" s="140"/>
      <c r="CB20" s="140"/>
      <c r="CC20" s="140"/>
      <c r="CD20" s="140"/>
      <c r="CE20" s="140"/>
      <c r="CF20" s="140"/>
      <c r="CG20" s="140"/>
      <c r="CH20" s="140"/>
      <c r="CI20" s="140"/>
      <c r="CJ20" s="137"/>
      <c r="CK20" s="140"/>
      <c r="CL20" s="140"/>
      <c r="CM20" s="140"/>
      <c r="CN20" s="140"/>
      <c r="CO20" s="140"/>
      <c r="CP20" s="140"/>
      <c r="CQ20" s="140">
        <v>35</v>
      </c>
      <c r="CR20" s="140">
        <v>99</v>
      </c>
      <c r="CS20" s="140">
        <v>97</v>
      </c>
      <c r="CT20" s="140"/>
      <c r="CU20" s="140"/>
      <c r="CV20" s="88"/>
      <c r="CW20" s="88"/>
      <c r="CX20" s="88"/>
      <c r="CY20" s="88"/>
      <c r="CZ20" s="88"/>
      <c r="DA20" s="88"/>
      <c r="DB20" s="88"/>
      <c r="DC20" s="88"/>
    </row>
    <row r="21" spans="1:127" x14ac:dyDescent="0.25">
      <c r="C21" s="47"/>
      <c r="D21" s="48"/>
      <c r="E21" s="48"/>
      <c r="F21" s="48"/>
      <c r="G21" s="48"/>
      <c r="H21" s="48"/>
      <c r="I21" s="92"/>
      <c r="J21" s="48"/>
      <c r="K21" s="48"/>
      <c r="L21" s="48"/>
      <c r="M21" s="48"/>
      <c r="N21" s="49"/>
      <c r="O21" s="50"/>
      <c r="P21" s="49"/>
      <c r="Q21" s="49"/>
      <c r="R21" s="51"/>
      <c r="S21" s="52"/>
      <c r="T21" s="52"/>
      <c r="U21" s="52"/>
      <c r="V21" s="52"/>
      <c r="W21" s="52"/>
      <c r="X21" s="52"/>
      <c r="Y21" s="52"/>
      <c r="Z21" s="52"/>
      <c r="AA21" s="13"/>
      <c r="AB21" s="53"/>
      <c r="AC21" s="54"/>
      <c r="AD21" s="54"/>
      <c r="AE21" s="54"/>
      <c r="AF21" s="54"/>
      <c r="AG21" s="55"/>
      <c r="AH21" s="55"/>
      <c r="AI21" s="55"/>
      <c r="AJ21" s="55"/>
      <c r="AK21" s="54"/>
      <c r="AL21" s="15"/>
      <c r="AM21" s="15"/>
      <c r="AN21" s="54"/>
      <c r="AO21" s="54"/>
      <c r="AP21" s="56"/>
      <c r="AQ21" s="57"/>
      <c r="AR21" s="57"/>
      <c r="AS21" s="57"/>
      <c r="AT21" s="54"/>
      <c r="AU21" s="54"/>
      <c r="AV21" s="54"/>
      <c r="AW21" s="15"/>
      <c r="AX21" s="10"/>
      <c r="AY21" s="15"/>
      <c r="AZ21" s="15"/>
      <c r="BA21" s="15"/>
      <c r="BB21" s="15"/>
      <c r="BC21" s="15"/>
      <c r="BD21" s="15"/>
      <c r="BE21" s="15"/>
      <c r="BF21" s="15"/>
      <c r="CD21" s="113"/>
    </row>
    <row r="22" spans="1:127" x14ac:dyDescent="0.25">
      <c r="A22" s="65" t="s">
        <v>60</v>
      </c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4"/>
      <c r="P22" s="68">
        <v>0.7</v>
      </c>
      <c r="Q22" s="68">
        <v>0.7</v>
      </c>
      <c r="R22" s="68">
        <v>0.7</v>
      </c>
      <c r="S22" s="68">
        <v>0.85</v>
      </c>
      <c r="T22" s="68">
        <v>0.9</v>
      </c>
      <c r="U22" s="68">
        <v>0.93</v>
      </c>
      <c r="V22" s="68">
        <v>0.93</v>
      </c>
      <c r="W22" s="68">
        <v>0.94</v>
      </c>
      <c r="X22" s="68">
        <v>0.94</v>
      </c>
      <c r="Y22" s="68">
        <v>0.95</v>
      </c>
      <c r="Z22" s="68">
        <v>0.95</v>
      </c>
      <c r="AA22" s="68">
        <v>0.95</v>
      </c>
      <c r="AB22" s="68">
        <v>500</v>
      </c>
      <c r="AC22" s="68">
        <v>500</v>
      </c>
      <c r="AD22" s="68">
        <v>500</v>
      </c>
      <c r="AE22" s="68">
        <v>500</v>
      </c>
      <c r="AF22" s="68">
        <v>500</v>
      </c>
      <c r="AG22" s="68">
        <v>500</v>
      </c>
      <c r="AH22" s="68">
        <v>500</v>
      </c>
      <c r="AI22" s="68">
        <v>500</v>
      </c>
      <c r="AJ22" s="68">
        <v>500</v>
      </c>
      <c r="AK22" s="68">
        <v>500</v>
      </c>
      <c r="AL22" s="68">
        <v>500</v>
      </c>
      <c r="AM22" s="68">
        <v>500</v>
      </c>
      <c r="AN22" s="68">
        <v>500</v>
      </c>
      <c r="AO22" s="68">
        <v>500</v>
      </c>
      <c r="AP22" s="68">
        <v>500</v>
      </c>
      <c r="AQ22" s="68">
        <v>500</v>
      </c>
      <c r="AR22" s="68">
        <v>500</v>
      </c>
      <c r="AS22" s="68">
        <v>500</v>
      </c>
      <c r="AT22" s="68">
        <v>500</v>
      </c>
      <c r="AU22" s="68">
        <v>500</v>
      </c>
      <c r="AV22" s="68">
        <v>500</v>
      </c>
      <c r="AW22" s="68">
        <v>500</v>
      </c>
      <c r="AX22" s="68">
        <v>500</v>
      </c>
      <c r="AY22" s="68">
        <v>500</v>
      </c>
      <c r="AZ22" s="68">
        <v>500</v>
      </c>
      <c r="BA22" s="68">
        <v>500</v>
      </c>
      <c r="BB22" s="68">
        <v>500</v>
      </c>
      <c r="BC22" s="68">
        <v>500</v>
      </c>
      <c r="BD22" s="68">
        <v>500</v>
      </c>
      <c r="BE22" s="68">
        <v>500</v>
      </c>
      <c r="BF22" s="68">
        <v>500</v>
      </c>
      <c r="BG22" s="68">
        <v>500</v>
      </c>
      <c r="BH22" s="68">
        <v>500</v>
      </c>
      <c r="BI22" s="68">
        <v>500</v>
      </c>
      <c r="BJ22" s="68">
        <v>500</v>
      </c>
      <c r="BK22" s="68">
        <v>500</v>
      </c>
      <c r="BL22" s="68">
        <v>0.94</v>
      </c>
      <c r="BM22" s="68">
        <v>0.94</v>
      </c>
      <c r="BN22" s="68">
        <v>0.95</v>
      </c>
      <c r="BO22" s="68">
        <v>0.95</v>
      </c>
      <c r="BP22" s="68">
        <v>0.95</v>
      </c>
      <c r="BQ22" s="68">
        <v>0.95</v>
      </c>
      <c r="BR22" s="68">
        <v>0.95</v>
      </c>
      <c r="BS22" s="68">
        <v>92</v>
      </c>
      <c r="BT22" s="68">
        <v>92</v>
      </c>
      <c r="BU22" s="68">
        <v>92</v>
      </c>
      <c r="BV22" s="68">
        <v>92</v>
      </c>
      <c r="BW22" s="68">
        <v>92</v>
      </c>
      <c r="BX22" s="68">
        <v>92</v>
      </c>
      <c r="BY22" s="68">
        <v>92</v>
      </c>
      <c r="BZ22" s="68">
        <v>92</v>
      </c>
      <c r="CA22" s="68">
        <v>92</v>
      </c>
      <c r="CB22" s="68">
        <v>92</v>
      </c>
      <c r="CC22" s="68">
        <v>92</v>
      </c>
      <c r="CD22" s="68">
        <v>92</v>
      </c>
      <c r="CE22" s="68">
        <v>92</v>
      </c>
      <c r="CF22" s="68">
        <v>92</v>
      </c>
      <c r="CG22" s="68">
        <v>92</v>
      </c>
      <c r="CH22" s="68">
        <v>92</v>
      </c>
      <c r="CI22" s="68">
        <v>92</v>
      </c>
      <c r="CJ22" s="68">
        <v>0.95</v>
      </c>
      <c r="CK22" s="68">
        <v>92</v>
      </c>
      <c r="CL22" s="68">
        <v>92</v>
      </c>
      <c r="CM22" s="68">
        <v>92</v>
      </c>
      <c r="CN22" s="68">
        <v>92</v>
      </c>
      <c r="CO22" s="68">
        <v>92</v>
      </c>
      <c r="CP22" s="68">
        <v>92</v>
      </c>
      <c r="CQ22" s="68">
        <v>0.95</v>
      </c>
      <c r="CR22" s="68">
        <v>0.95</v>
      </c>
      <c r="CS22" s="68">
        <v>0.95</v>
      </c>
      <c r="CT22" s="68">
        <v>0.95</v>
      </c>
      <c r="CU22" s="68">
        <v>0.95</v>
      </c>
      <c r="CV22" s="68">
        <v>0.95</v>
      </c>
      <c r="CW22" s="68">
        <v>0.93</v>
      </c>
      <c r="CX22" s="68">
        <v>0.93</v>
      </c>
      <c r="CY22" s="68">
        <v>0.94</v>
      </c>
      <c r="CZ22" s="68">
        <v>0.94</v>
      </c>
      <c r="DA22" s="68">
        <v>0.95</v>
      </c>
      <c r="DB22" s="68">
        <v>0.94999999999999896</v>
      </c>
      <c r="DC22" s="68">
        <v>0.95999999999999897</v>
      </c>
      <c r="DG22" s="76"/>
      <c r="DH22" s="76"/>
      <c r="DI22" s="76"/>
      <c r="DJ22" s="76"/>
      <c r="DK22" s="76"/>
      <c r="DL22" s="76"/>
      <c r="DR22" s="76"/>
      <c r="DS22" s="76"/>
      <c r="DT22" s="76"/>
      <c r="DU22" s="76"/>
      <c r="DV22" s="76"/>
      <c r="DW22" s="76"/>
    </row>
    <row r="23" spans="1:127" ht="15.75" thickBot="1" x14ac:dyDescent="0.3">
      <c r="A23" t="s">
        <v>58</v>
      </c>
      <c r="DG23" s="76"/>
      <c r="DH23" s="76"/>
      <c r="DI23" s="76"/>
      <c r="DJ23" s="76"/>
      <c r="DK23" s="76"/>
      <c r="DL23" s="76"/>
      <c r="DR23" s="76"/>
      <c r="DS23" s="76"/>
      <c r="DT23" s="76"/>
      <c r="DU23" s="76"/>
      <c r="DV23" s="76"/>
      <c r="DW23" s="76"/>
    </row>
    <row r="24" spans="1:127" x14ac:dyDescent="0.25">
      <c r="DG24" s="76"/>
      <c r="DH24" s="94" t="s">
        <v>107</v>
      </c>
      <c r="DI24" s="95" t="s">
        <v>115</v>
      </c>
      <c r="DJ24" s="95"/>
      <c r="DK24" s="96"/>
      <c r="DL24" s="76"/>
      <c r="DR24" s="76"/>
      <c r="DS24" s="76"/>
      <c r="DT24" s="76"/>
      <c r="DU24" s="76"/>
      <c r="DV24" s="76"/>
      <c r="DW24" s="76"/>
    </row>
    <row r="25" spans="1:127" x14ac:dyDescent="0.25">
      <c r="DG25" s="76"/>
      <c r="DH25" s="97" t="s">
        <v>108</v>
      </c>
      <c r="DI25" s="98">
        <v>1</v>
      </c>
      <c r="DJ25" s="76"/>
      <c r="DK25" s="99"/>
      <c r="DL25" s="76"/>
      <c r="DR25" s="76"/>
      <c r="DS25" s="103"/>
      <c r="DT25" s="76"/>
      <c r="DU25" s="76"/>
      <c r="DV25" s="76"/>
      <c r="DW25" s="76"/>
    </row>
    <row r="26" spans="1:127" x14ac:dyDescent="0.25">
      <c r="DG26" s="76"/>
      <c r="DH26" s="97" t="s">
        <v>109</v>
      </c>
      <c r="DI26" s="98">
        <v>1</v>
      </c>
      <c r="DJ26" s="76"/>
      <c r="DK26" s="99"/>
      <c r="DL26" s="76"/>
      <c r="DR26" s="76"/>
      <c r="DS26" s="76"/>
      <c r="DT26" s="98"/>
      <c r="DU26" s="76"/>
      <c r="DV26" s="76"/>
      <c r="DW26" s="76"/>
    </row>
    <row r="27" spans="1:127" x14ac:dyDescent="0.25">
      <c r="DG27" s="76"/>
      <c r="DH27" s="97" t="s">
        <v>110</v>
      </c>
      <c r="DI27" s="98">
        <v>1</v>
      </c>
      <c r="DJ27" s="76"/>
      <c r="DK27" s="99"/>
      <c r="DL27" s="76"/>
      <c r="DR27" s="76"/>
      <c r="DS27" s="76"/>
      <c r="DT27" s="98"/>
      <c r="DU27" s="76"/>
      <c r="DV27" s="76"/>
      <c r="DW27" s="76"/>
    </row>
    <row r="28" spans="1:127" x14ac:dyDescent="0.25">
      <c r="DG28" s="76"/>
      <c r="DH28" s="97" t="s">
        <v>111</v>
      </c>
      <c r="DI28" s="158">
        <v>3</v>
      </c>
      <c r="DJ28" s="76"/>
      <c r="DK28" s="99"/>
      <c r="DL28" s="76"/>
      <c r="DR28" s="76"/>
      <c r="DS28" s="76"/>
      <c r="DT28" s="98"/>
      <c r="DU28" s="76"/>
      <c r="DV28" s="76"/>
      <c r="DW28" s="76"/>
    </row>
    <row r="29" spans="1:127" x14ac:dyDescent="0.25">
      <c r="DG29" s="76"/>
      <c r="DH29" s="97" t="s">
        <v>112</v>
      </c>
      <c r="DI29" s="158">
        <v>1</v>
      </c>
      <c r="DJ29" s="76"/>
      <c r="DK29" s="99"/>
      <c r="DL29" s="76"/>
      <c r="DR29" s="76"/>
      <c r="DS29" s="76"/>
      <c r="DT29" s="98"/>
      <c r="DU29" s="76"/>
      <c r="DV29" s="76"/>
      <c r="DW29" s="76"/>
    </row>
    <row r="30" spans="1:127" x14ac:dyDescent="0.25">
      <c r="DG30" s="76"/>
      <c r="DH30" s="97" t="s">
        <v>113</v>
      </c>
      <c r="DI30" s="158">
        <v>1</v>
      </c>
      <c r="DJ30" s="76"/>
      <c r="DK30" s="99"/>
      <c r="DL30" s="76"/>
      <c r="DR30" s="76"/>
      <c r="DS30" s="76"/>
      <c r="DT30" s="98"/>
      <c r="DU30" s="76"/>
      <c r="DV30" s="76"/>
      <c r="DW30" s="76"/>
    </row>
    <row r="31" spans="1:127" ht="15.75" thickBot="1" x14ac:dyDescent="0.3">
      <c r="DG31" s="76"/>
      <c r="DH31" s="100"/>
      <c r="DI31" s="101"/>
      <c r="DJ31" s="101"/>
      <c r="DK31" s="102"/>
      <c r="DL31" s="76"/>
      <c r="DR31" s="76"/>
      <c r="DS31" s="76"/>
      <c r="DT31" s="98"/>
      <c r="DU31" s="76"/>
      <c r="DV31" s="76"/>
      <c r="DW31" s="76"/>
    </row>
    <row r="32" spans="1:127" x14ac:dyDescent="0.25">
      <c r="DG32" s="76"/>
      <c r="DH32" s="76"/>
      <c r="DI32" s="76"/>
      <c r="DJ32" s="76"/>
      <c r="DK32" s="76"/>
      <c r="DL32" s="76"/>
      <c r="DR32" s="76"/>
      <c r="DS32" s="76"/>
      <c r="DT32" s="76"/>
      <c r="DU32" s="76"/>
      <c r="DV32" s="76"/>
      <c r="DW32" s="76"/>
    </row>
    <row r="33" spans="111:127" x14ac:dyDescent="0.25">
      <c r="DR33" s="76"/>
      <c r="DS33" s="76"/>
      <c r="DT33" s="76"/>
      <c r="DU33" s="76"/>
      <c r="DV33" s="76"/>
      <c r="DW33" s="76"/>
    </row>
    <row r="34" spans="111:127" x14ac:dyDescent="0.25">
      <c r="DR34" s="76"/>
      <c r="DS34" s="76"/>
      <c r="DT34" s="76"/>
      <c r="DU34" s="76"/>
      <c r="DV34" s="76"/>
      <c r="DW34" s="76"/>
    </row>
    <row r="35" spans="111:127" x14ac:dyDescent="0.25">
      <c r="DR35" s="76"/>
      <c r="DS35" s="76"/>
      <c r="DT35" s="76"/>
      <c r="DU35" s="76"/>
      <c r="DV35" s="76"/>
      <c r="DW35" s="76"/>
    </row>
    <row r="48" spans="111:127" x14ac:dyDescent="0.25">
      <c r="DG48" s="76"/>
      <c r="DH48" s="76"/>
      <c r="DI48" s="76"/>
      <c r="DJ48" s="76"/>
      <c r="DK48" s="76"/>
      <c r="DL48" s="76"/>
    </row>
    <row r="49" spans="111:116" x14ac:dyDescent="0.25">
      <c r="DG49" s="76"/>
      <c r="DH49" s="76"/>
      <c r="DI49" s="76"/>
      <c r="DJ49" s="76"/>
      <c r="DK49" s="76"/>
      <c r="DL49" s="76"/>
    </row>
    <row r="50" spans="111:116" x14ac:dyDescent="0.25">
      <c r="DG50" s="76"/>
      <c r="DH50" s="145"/>
      <c r="DI50" s="12"/>
      <c r="DJ50" s="12"/>
      <c r="DK50" s="12"/>
      <c r="DL50" s="76"/>
    </row>
    <row r="51" spans="111:116" ht="15.75" thickBot="1" x14ac:dyDescent="0.3">
      <c r="DG51" s="76"/>
      <c r="DH51" s="145"/>
      <c r="DI51" s="12"/>
      <c r="DJ51" s="12"/>
      <c r="DK51" s="12"/>
      <c r="DL51" s="76"/>
    </row>
    <row r="52" spans="111:116" x14ac:dyDescent="0.25">
      <c r="DG52" s="76"/>
      <c r="DH52" s="104" t="s">
        <v>114</v>
      </c>
      <c r="DI52" s="105"/>
      <c r="DJ52" s="105"/>
      <c r="DK52" s="106"/>
      <c r="DL52" s="76"/>
    </row>
    <row r="53" spans="111:116" x14ac:dyDescent="0.25">
      <c r="DG53" s="76"/>
      <c r="DH53" s="107"/>
      <c r="DI53" s="12"/>
      <c r="DJ53" s="12"/>
      <c r="DK53" s="108"/>
      <c r="DL53" s="76"/>
    </row>
    <row r="54" spans="111:116" x14ac:dyDescent="0.25">
      <c r="DG54" s="76"/>
      <c r="DH54" s="97"/>
      <c r="DI54" s="76"/>
      <c r="DJ54" s="76"/>
      <c r="DK54" s="99"/>
      <c r="DL54" s="76"/>
    </row>
    <row r="55" spans="111:116" x14ac:dyDescent="0.25">
      <c r="DG55" s="76"/>
      <c r="DH55" s="97"/>
      <c r="DI55" s="12" t="s">
        <v>115</v>
      </c>
      <c r="DJ55" s="76"/>
      <c r="DK55" s="99"/>
      <c r="DL55" s="76"/>
    </row>
    <row r="56" spans="111:116" x14ac:dyDescent="0.25">
      <c r="DG56" s="76"/>
      <c r="DH56" s="97" t="s">
        <v>108</v>
      </c>
      <c r="DI56" s="76">
        <v>0</v>
      </c>
      <c r="DJ56" s="76"/>
      <c r="DK56" s="99"/>
      <c r="DL56" s="76"/>
    </row>
    <row r="57" spans="111:116" x14ac:dyDescent="0.25">
      <c r="DG57" s="76"/>
      <c r="DH57" s="97" t="s">
        <v>109</v>
      </c>
      <c r="DI57" s="76">
        <v>0</v>
      </c>
      <c r="DJ57" s="76"/>
      <c r="DK57" s="99"/>
      <c r="DL57" s="76"/>
    </row>
    <row r="58" spans="111:116" x14ac:dyDescent="0.25">
      <c r="DG58" s="76"/>
      <c r="DH58" s="97" t="s">
        <v>116</v>
      </c>
      <c r="DI58" s="76">
        <v>1</v>
      </c>
      <c r="DJ58" s="76"/>
      <c r="DK58" s="99"/>
      <c r="DL58" s="76"/>
    </row>
    <row r="59" spans="111:116" x14ac:dyDescent="0.25">
      <c r="DG59" s="76"/>
      <c r="DH59" s="97" t="s">
        <v>111</v>
      </c>
      <c r="DI59" s="66">
        <v>0</v>
      </c>
      <c r="DJ59" s="76"/>
      <c r="DK59" s="99"/>
      <c r="DL59" s="76"/>
    </row>
    <row r="60" spans="111:116" x14ac:dyDescent="0.25">
      <c r="DG60" s="76"/>
      <c r="DH60" s="97" t="s">
        <v>112</v>
      </c>
      <c r="DI60" s="66">
        <v>0</v>
      </c>
      <c r="DJ60" s="76"/>
      <c r="DK60" s="99"/>
      <c r="DL60" s="76"/>
    </row>
    <row r="61" spans="111:116" ht="15.75" thickBot="1" x14ac:dyDescent="0.3">
      <c r="DG61" s="76"/>
      <c r="DH61" s="100" t="s">
        <v>113</v>
      </c>
      <c r="DI61" s="101">
        <v>0</v>
      </c>
      <c r="DJ61" s="101"/>
      <c r="DK61" s="102"/>
      <c r="DL61" s="76"/>
    </row>
    <row r="62" spans="111:116" x14ac:dyDescent="0.25">
      <c r="DI62" s="66"/>
    </row>
  </sheetData>
  <mergeCells count="1">
    <mergeCell ref="A2:A3"/>
  </mergeCells>
  <pageMargins left="0.7" right="0.7" top="0.75" bottom="0.75" header="0.3" footer="0.3"/>
  <pageSetup orientation="portrait" r:id="rId1"/>
  <headerFooter>
    <oddFooter>&amp;R&amp;1#&amp;"Arial"&amp;10&amp;K000000Confidential C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ublicarSTR">
                <anchor moveWithCells="1" sizeWithCells="1">
                  <from>
                    <xdr:col>15</xdr:col>
                    <xdr:colOff>114300</xdr:colOff>
                    <xdr:row>30</xdr:row>
                    <xdr:rowOff>0</xdr:rowOff>
                  </from>
                  <to>
                    <xdr:col>19</xdr:col>
                    <xdr:colOff>114300</xdr:colOff>
                    <xdr:row>33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C30:T31"/>
  <sheetViews>
    <sheetView view="pageLayout" zoomScale="50" zoomScaleNormal="70" zoomScalePageLayoutView="50" workbookViewId="0">
      <selection activeCell="J21" sqref="J21"/>
    </sheetView>
  </sheetViews>
  <sheetFormatPr baseColWidth="10" defaultRowHeight="15" x14ac:dyDescent="0.25"/>
  <cols>
    <col min="3" max="3" width="12" customWidth="1"/>
  </cols>
  <sheetData>
    <row r="30" spans="3:20" ht="15.75" thickBot="1" x14ac:dyDescent="0.3"/>
    <row r="31" spans="3:20" ht="15.75" thickBot="1" x14ac:dyDescent="0.3">
      <c r="C31" s="168" t="s">
        <v>127</v>
      </c>
      <c r="D31" s="169"/>
      <c r="E31" s="170">
        <f ca="1">TODAY()</f>
        <v>43803</v>
      </c>
      <c r="F31" s="171"/>
      <c r="Q31" s="168" t="s">
        <v>127</v>
      </c>
      <c r="R31" s="169"/>
      <c r="S31" s="170">
        <f ca="1">TODAY()</f>
        <v>43803</v>
      </c>
      <c r="T31" s="171"/>
    </row>
  </sheetData>
  <mergeCells count="4">
    <mergeCell ref="C31:D31"/>
    <mergeCell ref="E31:F31"/>
    <mergeCell ref="Q31:R31"/>
    <mergeCell ref="S31:T31"/>
  </mergeCells>
  <pageMargins left="0.25" right="0.25" top="0.75" bottom="0.75" header="0.3" footer="0.3"/>
  <pageSetup paperSize="9" orientation="landscape" r:id="rId1"/>
  <headerFooter>
    <oddFooter>&amp;R&amp;1#&amp;"Arial"&amp;10&amp;K000000Confidential C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56948C3D12390498F315AA838E5FFD9" ma:contentTypeVersion="12" ma:contentTypeDescription="Crear nuevo documento." ma:contentTypeScope="" ma:versionID="caa09b3ba51a292ea4dbb42fc916a5df">
  <xsd:schema xmlns:xsd="http://www.w3.org/2001/XMLSchema" xmlns:xs="http://www.w3.org/2001/XMLSchema" xmlns:p="http://schemas.microsoft.com/office/2006/metadata/properties" xmlns:ns2="b4065620-d6e7-4ff6-9c3a-3e59ba6b938d" xmlns:ns3="1df3c008-a79a-4bf6-85b9-ebe7e17cecea" targetNamespace="http://schemas.microsoft.com/office/2006/metadata/properties" ma:root="true" ma:fieldsID="cdef20aee11de5e0ceeec197698ad7b3" ns2:_="" ns3:_="">
    <xsd:import namespace="b4065620-d6e7-4ff6-9c3a-3e59ba6b938d"/>
    <xsd:import namespace="1df3c008-a79a-4bf6-85b9-ebe7e17cece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065620-d6e7-4ff6-9c3a-3e59ba6b9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f3c008-a79a-4bf6-85b9-ebe7e17cecea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61E3D13-B494-4C1C-ADE8-095E8AB30FB9}"/>
</file>

<file path=customXml/itemProps2.xml><?xml version="1.0" encoding="utf-8"?>
<ds:datastoreItem xmlns:ds="http://schemas.openxmlformats.org/officeDocument/2006/customXml" ds:itemID="{E02CE47B-E46C-48AF-ADB6-EAC92ABD76EA}"/>
</file>

<file path=customXml/itemProps3.xml><?xml version="1.0" encoding="utf-8"?>
<ds:datastoreItem xmlns:ds="http://schemas.openxmlformats.org/officeDocument/2006/customXml" ds:itemID="{D4CAD345-B3C5-45FD-83FF-158A91BE616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STR &amp; SRT + QRW ZONE</vt:lpstr>
      <vt:lpstr>Web</vt:lpstr>
      <vt:lpstr>Web!Área_de_impresión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PERNITCHI Giselle</dc:creator>
  <cp:lastModifiedBy>FUERTES Marcelo</cp:lastModifiedBy>
  <cp:lastPrinted>2019-12-03T15:33:47Z</cp:lastPrinted>
  <dcterms:created xsi:type="dcterms:W3CDTF">2019-05-10T16:27:42Z</dcterms:created>
  <dcterms:modified xsi:type="dcterms:W3CDTF">2019-12-04T15:53:17Z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5eeb3e6-85f8-4106-953e-4f1eacb9bdc3_Enabled">
    <vt:lpwstr>True</vt:lpwstr>
  </property>
  <property fmtid="{D5CDD505-2E9C-101B-9397-08002B2CF9AE}" pid="3" name="MSIP_Label_a5eeb3e6-85f8-4106-953e-4f1eacb9bdc3_SiteId">
    <vt:lpwstr>d6b0bbee-7cd9-4d60-bce6-4a67b543e2ae</vt:lpwstr>
  </property>
  <property fmtid="{D5CDD505-2E9C-101B-9397-08002B2CF9AE}" pid="4" name="MSIP_Label_a5eeb3e6-85f8-4106-953e-4f1eacb9bdc3_Owner">
    <vt:lpwstr>marcelo.fuertes@renault.com</vt:lpwstr>
  </property>
  <property fmtid="{D5CDD505-2E9C-101B-9397-08002B2CF9AE}" pid="5" name="MSIP_Label_a5eeb3e6-85f8-4106-953e-4f1eacb9bdc3_SetDate">
    <vt:lpwstr>2019-05-10T18:19:21.6081530Z</vt:lpwstr>
  </property>
  <property fmtid="{D5CDD505-2E9C-101B-9397-08002B2CF9AE}" pid="6" name="MSIP_Label_a5eeb3e6-85f8-4106-953e-4f1eacb9bdc3_Name">
    <vt:lpwstr>Confidential C</vt:lpwstr>
  </property>
  <property fmtid="{D5CDD505-2E9C-101B-9397-08002B2CF9AE}" pid="7" name="MSIP_Label_a5eeb3e6-85f8-4106-953e-4f1eacb9bdc3_Application">
    <vt:lpwstr>Microsoft Azure Information Protection</vt:lpwstr>
  </property>
  <property fmtid="{D5CDD505-2E9C-101B-9397-08002B2CF9AE}" pid="8" name="MSIP_Label_a5eeb3e6-85f8-4106-953e-4f1eacb9bdc3_Extended_MSFT_Method">
    <vt:lpwstr>Automatic</vt:lpwstr>
  </property>
  <property fmtid="{D5CDD505-2E9C-101B-9397-08002B2CF9AE}" pid="9" name="MSIP_Label_fd1c0902-ed92-4fed-896d-2e7725de02d4_Enabled">
    <vt:lpwstr>True</vt:lpwstr>
  </property>
  <property fmtid="{D5CDD505-2E9C-101B-9397-08002B2CF9AE}" pid="10" name="MSIP_Label_fd1c0902-ed92-4fed-896d-2e7725de02d4_SiteId">
    <vt:lpwstr>d6b0bbee-7cd9-4d60-bce6-4a67b543e2ae</vt:lpwstr>
  </property>
  <property fmtid="{D5CDD505-2E9C-101B-9397-08002B2CF9AE}" pid="11" name="MSIP_Label_fd1c0902-ed92-4fed-896d-2e7725de02d4_SetDate">
    <vt:lpwstr>2019-05-10T18:19:21.6081530Z</vt:lpwstr>
  </property>
  <property fmtid="{D5CDD505-2E9C-101B-9397-08002B2CF9AE}" pid="12" name="MSIP_Label_fd1c0902-ed92-4fed-896d-2e7725de02d4_Name">
    <vt:lpwstr>Accessible to everybody</vt:lpwstr>
  </property>
  <property fmtid="{D5CDD505-2E9C-101B-9397-08002B2CF9AE}" pid="13" name="MSIP_Label_fd1c0902-ed92-4fed-896d-2e7725de02d4_Extended_MSFT_Method">
    <vt:lpwstr>Automatic</vt:lpwstr>
  </property>
  <property fmtid="{D5CDD505-2E9C-101B-9397-08002B2CF9AE}" pid="14" name="Sensitivity">
    <vt:lpwstr>Confidential C Accessible to everybody</vt:lpwstr>
  </property>
  <property fmtid="{D5CDD505-2E9C-101B-9397-08002B2CF9AE}" pid="15" name="_AdHocReviewCycleID">
    <vt:i4>1996472485</vt:i4>
  </property>
  <property fmtid="{D5CDD505-2E9C-101B-9397-08002B2CF9AE}" pid="16" name="_NewReviewCycle">
    <vt:lpwstr/>
  </property>
  <property fmtid="{D5CDD505-2E9C-101B-9397-08002B2CF9AE}" pid="17" name="_EmailSubject">
    <vt:lpwstr>STR todo en un a aplicar desde mañana (mejor caso)</vt:lpwstr>
  </property>
  <property fmtid="{D5CDD505-2E9C-101B-9397-08002B2CF9AE}" pid="18" name="_AuthorEmail">
    <vt:lpwstr>samir.araya@renault.com</vt:lpwstr>
  </property>
  <property fmtid="{D5CDD505-2E9C-101B-9397-08002B2CF9AE}" pid="19" name="_AuthorEmailDisplayName">
    <vt:lpwstr>ARAYA Samir</vt:lpwstr>
  </property>
  <property fmtid="{D5CDD505-2E9C-101B-9397-08002B2CF9AE}" pid="20" name="_PreviousAdHocReviewCycleID">
    <vt:i4>-500960069</vt:i4>
  </property>
  <property fmtid="{D5CDD505-2E9C-101B-9397-08002B2CF9AE}" pid="21" name="_ReviewingToolsShownOnce">
    <vt:lpwstr/>
  </property>
  <property fmtid="{D5CDD505-2E9C-101B-9397-08002B2CF9AE}" pid="22" name="ContentTypeId">
    <vt:lpwstr>0x010100F56948C3D12390498F315AA838E5FFD9</vt:lpwstr>
  </property>
</Properties>
</file>